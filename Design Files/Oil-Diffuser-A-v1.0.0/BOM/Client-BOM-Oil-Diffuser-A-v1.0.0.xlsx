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lliotrosenberg-oildiffuser\Design Files\Oil-Diffuser-A-v1.0.0\BOM\"/>
    </mc:Choice>
  </mc:AlternateContent>
  <bookViews>
    <workbookView xWindow="28680" yWindow="-120" windowWidth="29040" windowHeight="1584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40" i="1" l="1"/>
  <c r="B41" i="1"/>
  <c r="B42" i="1"/>
  <c r="B43" i="1"/>
  <c r="B39" i="1" l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<sst xmlns="http://schemas.openxmlformats.org/spreadsheetml/2006/main" count="301" uniqueCount="211">
  <si>
    <t>#</t>
  </si>
  <si>
    <t>Item Type</t>
  </si>
  <si>
    <t>Capacitors</t>
  </si>
  <si>
    <t>Capacitor</t>
  </si>
  <si>
    <t>Diode</t>
  </si>
  <si>
    <t>Fuse</t>
  </si>
  <si>
    <t>Terminal Blocks</t>
  </si>
  <si>
    <t>Wire To Board Connector</t>
  </si>
  <si>
    <t>DC Jack</t>
  </si>
  <si>
    <t>Right Angle JST</t>
  </si>
  <si>
    <t>Inductor</t>
  </si>
  <si>
    <t>LED</t>
  </si>
  <si>
    <t>Mosfet</t>
  </si>
  <si>
    <t>BJTs</t>
  </si>
  <si>
    <t>MOSFETs</t>
  </si>
  <si>
    <t>Resistor</t>
  </si>
  <si>
    <t>Resistors</t>
  </si>
  <si>
    <t>Potentiometer</t>
  </si>
  <si>
    <t>IC</t>
  </si>
  <si>
    <t>Designator</t>
  </si>
  <si>
    <t>C1</t>
  </si>
  <si>
    <t>C2, C9</t>
  </si>
  <si>
    <t>C3</t>
  </si>
  <si>
    <t>C4</t>
  </si>
  <si>
    <t>C5</t>
  </si>
  <si>
    <t>C6</t>
  </si>
  <si>
    <t>C7</t>
  </si>
  <si>
    <t>C8</t>
  </si>
  <si>
    <t>D1, D2</t>
  </si>
  <si>
    <t>F1</t>
  </si>
  <si>
    <t>J1</t>
  </si>
  <si>
    <t>J2</t>
  </si>
  <si>
    <t>J3</t>
  </si>
  <si>
    <t>J4</t>
  </si>
  <si>
    <t>L1</t>
  </si>
  <si>
    <t>L2</t>
  </si>
  <si>
    <t>LED1</t>
  </si>
  <si>
    <t>Q1</t>
  </si>
  <si>
    <t>Q2, Q4</t>
  </si>
  <si>
    <t>Q3</t>
  </si>
  <si>
    <t>Q5</t>
  </si>
  <si>
    <t>R1</t>
  </si>
  <si>
    <t>R2</t>
  </si>
  <si>
    <t>R3</t>
  </si>
  <si>
    <t>R4, R10</t>
  </si>
  <si>
    <t>R5</t>
  </si>
  <si>
    <t>R6</t>
  </si>
  <si>
    <t>R7</t>
  </si>
  <si>
    <t>R8</t>
  </si>
  <si>
    <t>R9</t>
  </si>
  <si>
    <t>R11</t>
  </si>
  <si>
    <t>R12, R14</t>
  </si>
  <si>
    <t>R13</t>
  </si>
  <si>
    <t>U1</t>
  </si>
  <si>
    <t>U2</t>
  </si>
  <si>
    <t>U3</t>
  </si>
  <si>
    <t>U4</t>
  </si>
  <si>
    <t>Description</t>
  </si>
  <si>
    <t>470uF 35V 850mA@100KHz 80mΩ@100KHz ±20% SMD,D8xL10.5mm Aluminum Electrolytic Capacitors - SMD ROHS</t>
  </si>
  <si>
    <t>1uF 25V X5R ±20% 0603 Multilayer Ceramic Capacitors MLCC - SMD/SMT ROHS</t>
  </si>
  <si>
    <t>220uF 35V 600mA@100KHz 160mΩ@100KHz ±20% SMD,D6.3xL7.7mm Aluminum Electrolytic Capacitors - SMD ROHS</t>
  </si>
  <si>
    <t>CAP CER 2.2UF 25V X5R 0603</t>
  </si>
  <si>
    <t>5% 630V 47nF Plugin,P=5.08mm Film Capacitors ROHS</t>
  </si>
  <si>
    <t>CAP CER 100UF 16V X5R 1210</t>
  </si>
  <si>
    <t>CAP CER 10000PF 50V X8R 0603</t>
  </si>
  <si>
    <t>±5% 50V 220pF NP0 Plugin,P=5.08mm Multilayer Ceramic Capacitors MLCC - Leaded ROHS</t>
  </si>
  <si>
    <t>SCHOTTKY DIODE SMB 100V 5A</t>
  </si>
  <si>
    <t>33V 1.5A 40A 3A 1812 Resettable Fuses ROHS</t>
  </si>
  <si>
    <t>TERM BLK 2P SIDE ENT 5.08MM PCB</t>
  </si>
  <si>
    <t>1x2P 2P XH 1 Tin 2.5mm 2 -25℃~+85℃ Brass 3A Straight Plugin,P=2.5mm Wire To Board Connector ROHS</t>
  </si>
  <si>
    <t>DC Power Receptacle 260℃ Brass -20℃~+70℃ 2.5mm 6mm 2.5A 24V Plugin AC/DC Power Connectors ROHS</t>
  </si>
  <si>
    <t>1x2P 1 2mm Male pin 2 -25℃~+85℃ 2A Surface Mount SMD,P=2mm Wire To Board / Wire To Wire Connector ROHS</t>
  </si>
  <si>
    <t>2A 68uH ±20% 2.5A SMD,6.6x7.1mm Power Inductors ROHS</t>
  </si>
  <si>
    <t>600mA 220uH EI-core Inductor ±20% Plugin Power Inductors ROHS</t>
  </si>
  <si>
    <t>White light 0603 Light Emitting Diodes (LED) ROHS</t>
  </si>
  <si>
    <t>30V 5.8A 32mΩ@10V,5.8A 1.4W 1.4V@250uA N Channel SOT-23 MOSFETs ROHS</t>
  </si>
  <si>
    <t>TRANS NPN 40V 1A SOT23-3</t>
  </si>
  <si>
    <t>100V 15A 96W 114mΩ@10V,3A 3.5V@250uA 1 N-Channel TO-252 MOSFETs ROHS</t>
  </si>
  <si>
    <t>30V 7A 19mΩ 1.9W 1.1V@250uA P Channel SOT-23-3L MOSFETs ROHS</t>
  </si>
  <si>
    <t>RES 1K OHM 1% 1/8W 0805</t>
  </si>
  <si>
    <t>RES SMD 1M OHM 1% 1/10W 0603</t>
  </si>
  <si>
    <t>Metal Film Resistors 1kΩ 250mW ±200ppm/℃ ±1% Plugin,D2.3xL6.5mm Through Hole Resistors ROHS</t>
  </si>
  <si>
    <t>10% 5kΩ Plugin Potentiometers, Variable Resistors ROHS</t>
  </si>
  <si>
    <t>RES 100K OHM 1% 1/8W 0805</t>
  </si>
  <si>
    <t>RES 10 OHM 1% 3/4W 2010</t>
  </si>
  <si>
    <t>RES 1K OHM 1% 1/2W 1206</t>
  </si>
  <si>
    <t>Metal Film Resistors 1.5kΩ 250mW ±100ppm/℃ ±1% Plugin,D2.3xL6.5mm Through Hole Resistors ROHS</t>
  </si>
  <si>
    <t>RES SMD 10K OHM 0.1% 1/10W 0603</t>
  </si>
  <si>
    <t>RES SMD 47OHM 0.1W 0603</t>
  </si>
  <si>
    <t>RES 1.5K OHM 1% 1/10W 0603</t>
  </si>
  <si>
    <t>RES SMD 270 OHM 0.1% 1/10W 0603</t>
  </si>
  <si>
    <t>Step-down type Fixed 12V 2A 4.5V~40V ESOP-8 DC-DC Converters ROHS</t>
  </si>
  <si>
    <t>IC BINARY COUNTER 14-BIT 16SOIC</t>
  </si>
  <si>
    <t>IC OSC SINGLE TIMER 2.7MHZ 8SOIC</t>
  </si>
  <si>
    <t>IC GATE DRVR IGBT/MOSFET SOT23-6</t>
  </si>
  <si>
    <t>Footprint</t>
  </si>
  <si>
    <t>189RV0027</t>
  </si>
  <si>
    <t>Cap-0603</t>
  </si>
  <si>
    <t>189RV0019</t>
  </si>
  <si>
    <t>CAP-0603</t>
  </si>
  <si>
    <t>CFA2J473JC4PK5136A00</t>
  </si>
  <si>
    <t>Cap-1210</t>
  </si>
  <si>
    <t>CD1H221JC9BECHE100</t>
  </si>
  <si>
    <t>SMB_</t>
  </si>
  <si>
    <t>Fuse-1812_</t>
  </si>
  <si>
    <t>XH-2A-L</t>
  </si>
  <si>
    <t>DC-0360-2.5</t>
  </si>
  <si>
    <t>WAFER-PH2.0-2PWB</t>
  </si>
  <si>
    <t>PSPMAA0605H-680M-IGF</t>
  </si>
  <si>
    <t>PK0810-221MB</t>
  </si>
  <si>
    <t>LED-0603</t>
  </si>
  <si>
    <t>sot-23</t>
  </si>
  <si>
    <t>SOT-23</t>
  </si>
  <si>
    <t>TO-252-2L</t>
  </si>
  <si>
    <t>SOT-23-3L_</t>
  </si>
  <si>
    <t>RES-0805</t>
  </si>
  <si>
    <t>Res-0603</t>
  </si>
  <si>
    <t>Plugin,D2.3xL6.5mm</t>
  </si>
  <si>
    <t>3296W-1-502</t>
  </si>
  <si>
    <t>RES-2010</t>
  </si>
  <si>
    <t>Res-1206</t>
  </si>
  <si>
    <t>ESOP-8</t>
  </si>
  <si>
    <t>16-SOIC (0.154", 3.90mm Width)</t>
  </si>
  <si>
    <t>SOIC-8(0.154", 3.90mm Width)</t>
  </si>
  <si>
    <t>SOT-23-6</t>
  </si>
  <si>
    <t>Manufacturer Part Number</t>
  </si>
  <si>
    <t>TCC0603X5R105M250CT</t>
  </si>
  <si>
    <t>CC0603KRX5R8BB225</t>
  </si>
  <si>
    <t>EMK325ABJ107MM-P</t>
  </si>
  <si>
    <t>SS510B</t>
  </si>
  <si>
    <t>BSMD1812-150-33V</t>
  </si>
  <si>
    <t>NCD0603W3</t>
  </si>
  <si>
    <t>AO3400A</t>
  </si>
  <si>
    <t>ZXTN2040FTA</t>
  </si>
  <si>
    <t>STD12N10L-VB</t>
  </si>
  <si>
    <t>G7P03L</t>
  </si>
  <si>
    <t>RC0805FR-071KL</t>
  </si>
  <si>
    <t>CRCW06031M00FKEA</t>
  </si>
  <si>
    <t>MF1/4W-1KΩ±1%T52</t>
  </si>
  <si>
    <t>RC0805FR-07100KL</t>
  </si>
  <si>
    <t>RC2010FK-0710RL</t>
  </si>
  <si>
    <t>RC1206FR-7W1KL</t>
  </si>
  <si>
    <t>MF1/4W-1.5KΩ±1% T</t>
  </si>
  <si>
    <t>RT0603BRD0710KL</t>
  </si>
  <si>
    <t>RC0603FR-0747RL</t>
  </si>
  <si>
    <t>RC0603FR-071K5L</t>
  </si>
  <si>
    <t>RT0603BRE07270RL</t>
  </si>
  <si>
    <t>XL1509E-12</t>
  </si>
  <si>
    <t>CD4060BM96</t>
  </si>
  <si>
    <t>TS555IDTTR</t>
  </si>
  <si>
    <t>ZXGD3002E6TA</t>
  </si>
  <si>
    <t>Manufacturer</t>
  </si>
  <si>
    <t>KNSCHA</t>
  </si>
  <si>
    <t>CCTC</t>
  </si>
  <si>
    <t>Yageo</t>
  </si>
  <si>
    <t>Dersonic</t>
  </si>
  <si>
    <t>Taiyo Yuden</t>
  </si>
  <si>
    <t>MDD</t>
  </si>
  <si>
    <t>BHFUSE</t>
  </si>
  <si>
    <t>Phoenix Contact</t>
  </si>
  <si>
    <t>HCTL</t>
  </si>
  <si>
    <t>XKB Connectivity</t>
  </si>
  <si>
    <t>XUNPU</t>
  </si>
  <si>
    <t>PROD Tech</t>
  </si>
  <si>
    <t>SXN</t>
  </si>
  <si>
    <t>Foshan NationStar Optoelectronics</t>
  </si>
  <si>
    <t>BORN</t>
  </si>
  <si>
    <t>Diodes Zetex</t>
  </si>
  <si>
    <t>VBsemi</t>
  </si>
  <si>
    <t>GoFord</t>
  </si>
  <si>
    <t>Vishay</t>
  </si>
  <si>
    <t>Huaxing Mechanical-Elec</t>
  </si>
  <si>
    <t>BOCHEN</t>
  </si>
  <si>
    <t>CCO</t>
  </si>
  <si>
    <t>UMW</t>
  </si>
  <si>
    <t>Texas Instruments</t>
  </si>
  <si>
    <t>STMicroelectronics</t>
  </si>
  <si>
    <t>470uF</t>
  </si>
  <si>
    <t>1uF</t>
  </si>
  <si>
    <t>220uF</t>
  </si>
  <si>
    <t>2.2uF</t>
  </si>
  <si>
    <t>47nF</t>
  </si>
  <si>
    <t>100uF</t>
  </si>
  <si>
    <t>10nF</t>
  </si>
  <si>
    <t>220pF</t>
  </si>
  <si>
    <t>68uH</t>
  </si>
  <si>
    <t>220uH</t>
  </si>
  <si>
    <t>1K</t>
  </si>
  <si>
    <t>1M</t>
  </si>
  <si>
    <t>DNP</t>
  </si>
  <si>
    <t>100K</t>
  </si>
  <si>
    <t>10R</t>
  </si>
  <si>
    <t>1.5K</t>
  </si>
  <si>
    <t>10K</t>
  </si>
  <si>
    <t>47R</t>
  </si>
  <si>
    <t>270R</t>
  </si>
  <si>
    <t>Quantity</t>
  </si>
  <si>
    <t>Remarks</t>
  </si>
  <si>
    <t>Value</t>
  </si>
  <si>
    <t>GCM188R91H103KA37D</t>
  </si>
  <si>
    <t>Murata</t>
  </si>
  <si>
    <t>-</t>
  </si>
  <si>
    <t>DO NOT PLACE</t>
  </si>
  <si>
    <t>Custom</t>
  </si>
  <si>
    <t>Peripheral</t>
  </si>
  <si>
    <t>AC 110v 240V DC 24V 2A Power Supply wall charger Adapter US Charger</t>
  </si>
  <si>
    <t>24v 2 Amp US plug</t>
  </si>
  <si>
    <t>Toggle Switch</t>
  </si>
  <si>
    <t>24V Sleeve XH2.54</t>
  </si>
  <si>
    <t>16mm 1.7MHz</t>
  </si>
  <si>
    <t>Aliexpress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</si>
</sst>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9" fillId="0" borderId="8" xfId="1" applyFont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.aliexpress.com/item/1005002663971820.html?spm=a2g0o.productlist.main.3.33097fQY7fQYGh&amp;algo_pvid=31429c27-b8ca-4c84-a6da-82968f76658b&amp;algo_exp_id=31429c27-b8ca-4c84-a6da-82968f76658b-1&amp;pdp_npi=4%40dis%21USD%2126.11%215.58%21%21%2126.11%215.58%21" TargetMode="External"/><Relationship Id="rId2" Type="http://schemas.openxmlformats.org/officeDocument/2006/relationships/hyperlink" Target="https://vi.aliexpress.com/item/1005005545871582.html?spm=a2g0o.productlist.main.21.47eb54dcwaR8hG&amp;algo_pvid=e7bb4438-9834-43bd-a4ab-3a9207c87a85&amp;algo_exp_id=e7bb4438-9834-43bd-a4ab-3a9207c87a85-10&amp;pdp_npi=4%40dis%21USD%211.37%211.15%21%21%211.37%211.15%21" TargetMode="External"/><Relationship Id="rId1" Type="http://schemas.openxmlformats.org/officeDocument/2006/relationships/hyperlink" Target="https://vi.aliexpress.com/item/1005003786598481.html?spm=a2g0o.productlist.main.1.41d1PAYkPAYkJP&amp;algo_pvid=80955993-090a-4b8b-a3b6-cf5572639641&amp;algo_exp_id=80955993-090a-4b8b-a3b6-cf5572639641-0&amp;pdp_npi=4%40dis%21USD%211.59%211.02%21%21%211.59%211.02%21%254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vi.aliexpress.com/item/32848489683.html?spm=a2g0o.productlist.main.1.38734cdaoCMJkc&amp;algo_pvid=bc97d007-de81-4e13-9bea-299f13403e53&amp;algo_exp_id=bc97d007-de81-4e13-9bea-299f13403e53-0&amp;pdp_npi=4%40dis%21USD%213.05%212.17%21%21%213.05%212.17%21%40212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3"/>
  <sheetViews>
    <sheetView tabSelected="1" topLeftCell="B21" workbookViewId="0">
      <selection activeCell="F48" sqref="F48"/>
    </sheetView>
  </sheetViews>
  <sheetFormatPr defaultRowHeight="1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3.42578125" customWidth="1"/>
  </cols>
  <sheetData>
    <row r="1" spans="1:11" ht="15.75" thickBot="1">
      <c r="A1" s="1"/>
      <c r="B1" s="3"/>
      <c r="C1" s="3"/>
      <c r="D1" s="2"/>
      <c r="E1" s="2"/>
      <c r="F1" s="2"/>
      <c r="G1" s="2"/>
      <c r="H1" s="2"/>
      <c r="I1" s="20"/>
      <c r="J1" s="20"/>
      <c r="K1" s="20"/>
    </row>
    <row r="2" spans="1:11" ht="15.75" thickBot="1">
      <c r="A2" s="1"/>
      <c r="B2" s="5" t="s">
        <v>0</v>
      </c>
      <c r="C2" s="5" t="s">
        <v>1</v>
      </c>
      <c r="D2" s="5" t="s">
        <v>19</v>
      </c>
      <c r="E2" s="6" t="s">
        <v>57</v>
      </c>
      <c r="F2" s="5" t="s">
        <v>95</v>
      </c>
      <c r="G2" s="6" t="s">
        <v>125</v>
      </c>
      <c r="H2" s="5" t="s">
        <v>151</v>
      </c>
      <c r="I2" s="6" t="s">
        <v>198</v>
      </c>
      <c r="J2" s="5" t="s">
        <v>196</v>
      </c>
      <c r="K2" s="5" t="s">
        <v>197</v>
      </c>
    </row>
    <row r="3" spans="1:11" ht="48.75" thickBot="1">
      <c r="A3" s="1"/>
      <c r="B3" s="11">
        <f>ROW(B3) - ROW($B$2)</f>
        <v>1</v>
      </c>
      <c r="C3" s="12" t="s">
        <v>2</v>
      </c>
      <c r="D3" s="7" t="s">
        <v>20</v>
      </c>
      <c r="E3" s="8" t="s">
        <v>58</v>
      </c>
      <c r="F3" s="7" t="s">
        <v>203</v>
      </c>
      <c r="G3" s="8" t="s">
        <v>96</v>
      </c>
      <c r="H3" s="7" t="s">
        <v>152</v>
      </c>
      <c r="I3" s="8" t="s">
        <v>177</v>
      </c>
      <c r="J3" s="7">
        <v>1</v>
      </c>
      <c r="K3" s="7"/>
    </row>
    <row r="4" spans="1:11" ht="36.75" thickBot="1">
      <c r="A4" s="1"/>
      <c r="B4" s="11">
        <f t="shared" ref="B4:B38" si="0">ROW(B4) - ROW($B$2)</f>
        <v>2</v>
      </c>
      <c r="C4" s="13" t="s">
        <v>3</v>
      </c>
      <c r="D4" s="9" t="s">
        <v>21</v>
      </c>
      <c r="E4" s="10" t="s">
        <v>59</v>
      </c>
      <c r="F4" s="9" t="s">
        <v>97</v>
      </c>
      <c r="G4" s="10" t="s">
        <v>126</v>
      </c>
      <c r="H4" s="9" t="s">
        <v>153</v>
      </c>
      <c r="I4" s="10" t="s">
        <v>178</v>
      </c>
      <c r="J4" s="9">
        <v>2</v>
      </c>
      <c r="K4" s="9"/>
    </row>
    <row r="5" spans="1:11" ht="48.75" thickBot="1">
      <c r="A5" s="1"/>
      <c r="B5" s="11">
        <f>ROW(B5) - ROW($B$2)</f>
        <v>3</v>
      </c>
      <c r="C5" s="12" t="s">
        <v>2</v>
      </c>
      <c r="D5" s="7" t="s">
        <v>22</v>
      </c>
      <c r="E5" s="8" t="s">
        <v>60</v>
      </c>
      <c r="F5" s="7" t="s">
        <v>203</v>
      </c>
      <c r="G5" s="8" t="s">
        <v>98</v>
      </c>
      <c r="H5" s="7" t="s">
        <v>152</v>
      </c>
      <c r="I5" s="8" t="s">
        <v>179</v>
      </c>
      <c r="J5" s="7">
        <v>1</v>
      </c>
      <c r="K5" s="7"/>
    </row>
    <row r="6" spans="1:11" ht="15.75" thickBot="1">
      <c r="A6" s="1"/>
      <c r="B6" s="11">
        <f t="shared" si="0"/>
        <v>4</v>
      </c>
      <c r="C6" s="13" t="s">
        <v>3</v>
      </c>
      <c r="D6" s="9" t="s">
        <v>23</v>
      </c>
      <c r="E6" s="10" t="s">
        <v>61</v>
      </c>
      <c r="F6" s="9" t="s">
        <v>99</v>
      </c>
      <c r="G6" s="10" t="s">
        <v>127</v>
      </c>
      <c r="H6" s="9" t="s">
        <v>154</v>
      </c>
      <c r="I6" s="10" t="s">
        <v>180</v>
      </c>
      <c r="J6" s="9">
        <v>1</v>
      </c>
      <c r="K6" s="9"/>
    </row>
    <row r="7" spans="1:11" ht="24.75" thickBot="1">
      <c r="A7" s="1"/>
      <c r="B7" s="11">
        <f>ROW(B7) - ROW($B$2)</f>
        <v>5</v>
      </c>
      <c r="C7" s="12" t="s">
        <v>3</v>
      </c>
      <c r="D7" s="7" t="s">
        <v>24</v>
      </c>
      <c r="E7" s="8" t="s">
        <v>62</v>
      </c>
      <c r="F7" s="7" t="s">
        <v>203</v>
      </c>
      <c r="G7" s="8" t="s">
        <v>100</v>
      </c>
      <c r="H7" s="7" t="s">
        <v>155</v>
      </c>
      <c r="I7" s="8" t="s">
        <v>181</v>
      </c>
      <c r="J7" s="7">
        <v>1</v>
      </c>
      <c r="K7" s="7"/>
    </row>
    <row r="8" spans="1:11" ht="15.75" thickBot="1">
      <c r="A8" s="1"/>
      <c r="B8" s="11">
        <f t="shared" si="0"/>
        <v>6</v>
      </c>
      <c r="C8" s="13" t="s">
        <v>3</v>
      </c>
      <c r="D8" s="9" t="s">
        <v>25</v>
      </c>
      <c r="E8" s="10" t="s">
        <v>63</v>
      </c>
      <c r="F8" s="9" t="s">
        <v>101</v>
      </c>
      <c r="G8" s="10" t="s">
        <v>128</v>
      </c>
      <c r="H8" s="9" t="s">
        <v>156</v>
      </c>
      <c r="I8" s="10" t="s">
        <v>182</v>
      </c>
      <c r="J8" s="9">
        <v>1</v>
      </c>
      <c r="K8" s="9"/>
    </row>
    <row r="9" spans="1:11" ht="15.75" thickBot="1">
      <c r="A9" s="1"/>
      <c r="B9" s="11">
        <f>ROW(B9) - ROW($B$2)</f>
        <v>7</v>
      </c>
      <c r="C9" s="12" t="s">
        <v>3</v>
      </c>
      <c r="D9" s="7" t="s">
        <v>26</v>
      </c>
      <c r="E9" s="8" t="s">
        <v>64</v>
      </c>
      <c r="F9" s="7" t="s">
        <v>97</v>
      </c>
      <c r="G9" s="8" t="s">
        <v>199</v>
      </c>
      <c r="H9" s="7" t="s">
        <v>200</v>
      </c>
      <c r="I9" s="8" t="s">
        <v>183</v>
      </c>
      <c r="J9" s="7">
        <v>1</v>
      </c>
      <c r="K9" s="7"/>
    </row>
    <row r="10" spans="1:11" ht="36.75" thickBot="1">
      <c r="A10" s="1"/>
      <c r="B10" s="11">
        <f t="shared" si="0"/>
        <v>8</v>
      </c>
      <c r="C10" s="13" t="s">
        <v>2</v>
      </c>
      <c r="D10" s="9" t="s">
        <v>27</v>
      </c>
      <c r="E10" s="10" t="s">
        <v>65</v>
      </c>
      <c r="F10" s="7" t="s">
        <v>203</v>
      </c>
      <c r="G10" s="10" t="s">
        <v>102</v>
      </c>
      <c r="H10" s="9" t="s">
        <v>155</v>
      </c>
      <c r="I10" s="10" t="s">
        <v>184</v>
      </c>
      <c r="J10" s="9">
        <v>1</v>
      </c>
      <c r="K10" s="9"/>
    </row>
    <row r="11" spans="1:11" ht="15.75" thickBot="1">
      <c r="A11" s="1"/>
      <c r="B11" s="11">
        <f>ROW(B11) - ROW($B$2)</f>
        <v>9</v>
      </c>
      <c r="C11" s="12" t="s">
        <v>4</v>
      </c>
      <c r="D11" s="7" t="s">
        <v>28</v>
      </c>
      <c r="E11" s="8" t="s">
        <v>66</v>
      </c>
      <c r="F11" s="7" t="s">
        <v>103</v>
      </c>
      <c r="G11" s="8" t="s">
        <v>129</v>
      </c>
      <c r="H11" s="7" t="s">
        <v>157</v>
      </c>
      <c r="I11" s="8" t="s">
        <v>201</v>
      </c>
      <c r="J11" s="7">
        <v>2</v>
      </c>
      <c r="K11" s="7"/>
    </row>
    <row r="12" spans="1:11" ht="24.75" thickBot="1">
      <c r="A12" s="1"/>
      <c r="B12" s="11">
        <f t="shared" si="0"/>
        <v>10</v>
      </c>
      <c r="C12" s="13" t="s">
        <v>5</v>
      </c>
      <c r="D12" s="9" t="s">
        <v>29</v>
      </c>
      <c r="E12" s="10" t="s">
        <v>67</v>
      </c>
      <c r="F12" s="9" t="s">
        <v>104</v>
      </c>
      <c r="G12" s="10" t="s">
        <v>130</v>
      </c>
      <c r="H12" s="9" t="s">
        <v>158</v>
      </c>
      <c r="I12" s="8" t="s">
        <v>201</v>
      </c>
      <c r="J12" s="9">
        <v>1</v>
      </c>
      <c r="K12" s="9"/>
    </row>
    <row r="13" spans="1:11" ht="15.75" thickBot="1">
      <c r="A13" s="1"/>
      <c r="B13" s="11">
        <f>ROW(B13) - ROW($B$2)</f>
        <v>11</v>
      </c>
      <c r="C13" s="12" t="s">
        <v>6</v>
      </c>
      <c r="D13" s="7" t="s">
        <v>30</v>
      </c>
      <c r="E13" s="8" t="s">
        <v>68</v>
      </c>
      <c r="F13" s="7" t="s">
        <v>203</v>
      </c>
      <c r="G13" s="8">
        <v>1715721</v>
      </c>
      <c r="H13" s="7" t="s">
        <v>159</v>
      </c>
      <c r="I13" s="8" t="s">
        <v>201</v>
      </c>
      <c r="J13" s="7">
        <v>1</v>
      </c>
      <c r="K13" s="7"/>
    </row>
    <row r="14" spans="1:11" ht="36.75" thickBot="1">
      <c r="A14" s="1"/>
      <c r="B14" s="11">
        <f t="shared" si="0"/>
        <v>12</v>
      </c>
      <c r="C14" s="13" t="s">
        <v>7</v>
      </c>
      <c r="D14" s="9" t="s">
        <v>31</v>
      </c>
      <c r="E14" s="10" t="s">
        <v>69</v>
      </c>
      <c r="F14" s="7" t="s">
        <v>203</v>
      </c>
      <c r="G14" s="10" t="s">
        <v>105</v>
      </c>
      <c r="H14" s="9" t="s">
        <v>160</v>
      </c>
      <c r="I14" s="8" t="s">
        <v>201</v>
      </c>
      <c r="J14" s="9">
        <v>1</v>
      </c>
      <c r="K14" s="9"/>
    </row>
    <row r="15" spans="1:11" ht="48.75" thickBot="1">
      <c r="A15" s="1"/>
      <c r="B15" s="11">
        <f>ROW(B15) - ROW($B$2)</f>
        <v>13</v>
      </c>
      <c r="C15" s="12" t="s">
        <v>8</v>
      </c>
      <c r="D15" s="7" t="s">
        <v>32</v>
      </c>
      <c r="E15" s="8" t="s">
        <v>70</v>
      </c>
      <c r="F15" s="7" t="s">
        <v>203</v>
      </c>
      <c r="G15" s="8" t="s">
        <v>106</v>
      </c>
      <c r="H15" s="7" t="s">
        <v>161</v>
      </c>
      <c r="I15" s="8" t="s">
        <v>201</v>
      </c>
      <c r="J15" s="7">
        <v>1</v>
      </c>
      <c r="K15" s="7"/>
    </row>
    <row r="16" spans="1:11" ht="48.75" thickBot="1">
      <c r="A16" s="1"/>
      <c r="B16" s="11">
        <f t="shared" si="0"/>
        <v>14</v>
      </c>
      <c r="C16" s="13" t="s">
        <v>9</v>
      </c>
      <c r="D16" s="17" t="s">
        <v>33</v>
      </c>
      <c r="E16" s="18" t="s">
        <v>71</v>
      </c>
      <c r="F16" s="14" t="s">
        <v>203</v>
      </c>
      <c r="G16" s="18" t="s">
        <v>107</v>
      </c>
      <c r="H16" s="17" t="s">
        <v>162</v>
      </c>
      <c r="I16" s="15" t="s">
        <v>189</v>
      </c>
      <c r="J16" s="17">
        <v>1</v>
      </c>
      <c r="K16" s="16" t="s">
        <v>202</v>
      </c>
    </row>
    <row r="17" spans="1:11" ht="24.75" thickBot="1">
      <c r="A17" s="1"/>
      <c r="B17" s="11">
        <f>ROW(B17) - ROW($B$2)</f>
        <v>15</v>
      </c>
      <c r="C17" s="12" t="s">
        <v>10</v>
      </c>
      <c r="D17" s="7" t="s">
        <v>34</v>
      </c>
      <c r="E17" s="8" t="s">
        <v>72</v>
      </c>
      <c r="F17" s="7" t="s">
        <v>203</v>
      </c>
      <c r="G17" s="8" t="s">
        <v>108</v>
      </c>
      <c r="H17" s="7" t="s">
        <v>163</v>
      </c>
      <c r="I17" s="8" t="s">
        <v>185</v>
      </c>
      <c r="J17" s="7">
        <v>1</v>
      </c>
      <c r="K17" s="7"/>
    </row>
    <row r="18" spans="1:11" ht="24.75" thickBot="1">
      <c r="A18" s="1"/>
      <c r="B18" s="11">
        <f t="shared" si="0"/>
        <v>16</v>
      </c>
      <c r="C18" s="13" t="s">
        <v>10</v>
      </c>
      <c r="D18" s="9" t="s">
        <v>35</v>
      </c>
      <c r="E18" s="10" t="s">
        <v>73</v>
      </c>
      <c r="F18" s="7" t="s">
        <v>203</v>
      </c>
      <c r="G18" s="10" t="s">
        <v>109</v>
      </c>
      <c r="H18" s="9" t="s">
        <v>164</v>
      </c>
      <c r="I18" s="10" t="s">
        <v>186</v>
      </c>
      <c r="J18" s="9">
        <v>1</v>
      </c>
      <c r="K18" s="9"/>
    </row>
    <row r="19" spans="1:11" ht="24.75" thickBot="1">
      <c r="A19" s="1"/>
      <c r="B19" s="11">
        <f>ROW(B19) - ROW($B$2)</f>
        <v>17</v>
      </c>
      <c r="C19" s="12" t="s">
        <v>11</v>
      </c>
      <c r="D19" s="7" t="s">
        <v>36</v>
      </c>
      <c r="E19" s="8" t="s">
        <v>74</v>
      </c>
      <c r="F19" s="7" t="s">
        <v>110</v>
      </c>
      <c r="G19" s="8" t="s">
        <v>131</v>
      </c>
      <c r="H19" s="7" t="s">
        <v>165</v>
      </c>
      <c r="I19" s="8" t="s">
        <v>201</v>
      </c>
      <c r="J19" s="7">
        <v>1</v>
      </c>
      <c r="K19" s="7"/>
    </row>
    <row r="20" spans="1:11" ht="36.75" thickBot="1">
      <c r="A20" s="1"/>
      <c r="B20" s="11">
        <f t="shared" si="0"/>
        <v>18</v>
      </c>
      <c r="C20" s="13" t="s">
        <v>12</v>
      </c>
      <c r="D20" s="9" t="s">
        <v>37</v>
      </c>
      <c r="E20" s="10" t="s">
        <v>75</v>
      </c>
      <c r="F20" s="9" t="s">
        <v>111</v>
      </c>
      <c r="G20" s="10" t="s">
        <v>132</v>
      </c>
      <c r="H20" s="9" t="s">
        <v>166</v>
      </c>
      <c r="I20" s="8" t="s">
        <v>201</v>
      </c>
      <c r="J20" s="9">
        <v>1</v>
      </c>
      <c r="K20" s="9"/>
    </row>
    <row r="21" spans="1:11" ht="15.75" thickBot="1">
      <c r="A21" s="1"/>
      <c r="B21" s="11">
        <f>ROW(B21) - ROW($B$2)</f>
        <v>19</v>
      </c>
      <c r="C21" s="12" t="s">
        <v>13</v>
      </c>
      <c r="D21" s="7" t="s">
        <v>38</v>
      </c>
      <c r="E21" s="8" t="s">
        <v>76</v>
      </c>
      <c r="F21" s="7" t="s">
        <v>112</v>
      </c>
      <c r="G21" s="8" t="s">
        <v>133</v>
      </c>
      <c r="H21" s="7" t="s">
        <v>167</v>
      </c>
      <c r="I21" s="8" t="s">
        <v>201</v>
      </c>
      <c r="J21" s="7">
        <v>2</v>
      </c>
      <c r="K21" s="7"/>
    </row>
    <row r="22" spans="1:11" ht="36.75" thickBot="1">
      <c r="A22" s="1"/>
      <c r="B22" s="11">
        <f t="shared" si="0"/>
        <v>20</v>
      </c>
      <c r="C22" s="13" t="s">
        <v>14</v>
      </c>
      <c r="D22" s="9" t="s">
        <v>39</v>
      </c>
      <c r="E22" s="10" t="s">
        <v>77</v>
      </c>
      <c r="F22" s="9" t="s">
        <v>113</v>
      </c>
      <c r="G22" s="10" t="s">
        <v>134</v>
      </c>
      <c r="H22" s="9" t="s">
        <v>168</v>
      </c>
      <c r="I22" s="8" t="s">
        <v>201</v>
      </c>
      <c r="J22" s="9">
        <v>1</v>
      </c>
      <c r="K22" s="9"/>
    </row>
    <row r="23" spans="1:11" ht="24.75" thickBot="1">
      <c r="A23" s="1"/>
      <c r="B23" s="11">
        <f>ROW(B23) - ROW($B$2)</f>
        <v>21</v>
      </c>
      <c r="C23" s="12" t="s">
        <v>12</v>
      </c>
      <c r="D23" s="7" t="s">
        <v>40</v>
      </c>
      <c r="E23" s="8" t="s">
        <v>78</v>
      </c>
      <c r="F23" s="7" t="s">
        <v>114</v>
      </c>
      <c r="G23" s="8" t="s">
        <v>135</v>
      </c>
      <c r="H23" s="7" t="s">
        <v>169</v>
      </c>
      <c r="I23" s="8" t="s">
        <v>201</v>
      </c>
      <c r="J23" s="7">
        <v>1</v>
      </c>
      <c r="K23" s="7"/>
    </row>
    <row r="24" spans="1:11" ht="15.75" thickBot="1">
      <c r="A24" s="1"/>
      <c r="B24" s="11">
        <f t="shared" si="0"/>
        <v>22</v>
      </c>
      <c r="C24" s="13" t="s">
        <v>15</v>
      </c>
      <c r="D24" s="9" t="s">
        <v>41</v>
      </c>
      <c r="E24" s="10" t="s">
        <v>79</v>
      </c>
      <c r="F24" s="9" t="s">
        <v>115</v>
      </c>
      <c r="G24" s="10" t="s">
        <v>136</v>
      </c>
      <c r="H24" s="9" t="s">
        <v>154</v>
      </c>
      <c r="I24" s="10" t="s">
        <v>187</v>
      </c>
      <c r="J24" s="9">
        <v>1</v>
      </c>
      <c r="K24" s="9"/>
    </row>
    <row r="25" spans="1:11" ht="15.75" thickBot="1">
      <c r="A25" s="1"/>
      <c r="B25" s="11">
        <f>ROW(B25) - ROW($B$2)</f>
        <v>23</v>
      </c>
      <c r="C25" s="12" t="s">
        <v>16</v>
      </c>
      <c r="D25" s="7" t="s">
        <v>42</v>
      </c>
      <c r="E25" s="8" t="s">
        <v>80</v>
      </c>
      <c r="F25" s="7" t="s">
        <v>116</v>
      </c>
      <c r="G25" s="8" t="s">
        <v>137</v>
      </c>
      <c r="H25" s="7" t="s">
        <v>170</v>
      </c>
      <c r="I25" s="8" t="s">
        <v>188</v>
      </c>
      <c r="J25" s="7">
        <v>1</v>
      </c>
      <c r="K25" s="7"/>
    </row>
    <row r="26" spans="1:11" ht="36.75" thickBot="1">
      <c r="A26" s="1"/>
      <c r="B26" s="11">
        <f t="shared" si="0"/>
        <v>24</v>
      </c>
      <c r="C26" s="13" t="s">
        <v>16</v>
      </c>
      <c r="D26" s="9" t="s">
        <v>43</v>
      </c>
      <c r="E26" s="10" t="s">
        <v>81</v>
      </c>
      <c r="F26" s="9" t="s">
        <v>117</v>
      </c>
      <c r="G26" s="10" t="s">
        <v>138</v>
      </c>
      <c r="H26" s="9" t="s">
        <v>171</v>
      </c>
      <c r="I26" s="10" t="s">
        <v>187</v>
      </c>
      <c r="J26" s="9">
        <v>1</v>
      </c>
      <c r="K26" s="9"/>
    </row>
    <row r="27" spans="1:11" ht="24.75" thickBot="1">
      <c r="A27" s="1"/>
      <c r="B27" s="11">
        <f>ROW(B27) - ROW($B$2)</f>
        <v>25</v>
      </c>
      <c r="C27" s="12" t="s">
        <v>17</v>
      </c>
      <c r="D27" s="14" t="s">
        <v>44</v>
      </c>
      <c r="E27" s="15" t="s">
        <v>82</v>
      </c>
      <c r="F27" s="14" t="s">
        <v>118</v>
      </c>
      <c r="G27" s="15" t="s">
        <v>118</v>
      </c>
      <c r="H27" s="14" t="s">
        <v>172</v>
      </c>
      <c r="I27" s="15" t="s">
        <v>189</v>
      </c>
      <c r="J27" s="14">
        <v>2</v>
      </c>
      <c r="K27" s="16" t="s">
        <v>202</v>
      </c>
    </row>
    <row r="28" spans="1:11" ht="15.75" thickBot="1">
      <c r="A28" s="1"/>
      <c r="B28" s="11">
        <f t="shared" si="0"/>
        <v>26</v>
      </c>
      <c r="C28" s="13" t="s">
        <v>15</v>
      </c>
      <c r="D28" s="9" t="s">
        <v>45</v>
      </c>
      <c r="E28" s="10" t="s">
        <v>83</v>
      </c>
      <c r="F28" s="9" t="s">
        <v>115</v>
      </c>
      <c r="G28" s="10" t="s">
        <v>139</v>
      </c>
      <c r="H28" s="9" t="s">
        <v>154</v>
      </c>
      <c r="I28" s="10" t="s">
        <v>190</v>
      </c>
      <c r="J28" s="9">
        <v>1</v>
      </c>
      <c r="K28" s="9"/>
    </row>
    <row r="29" spans="1:11" ht="15.75" thickBot="1">
      <c r="A29" s="1"/>
      <c r="B29" s="11">
        <f>ROW(B29) - ROW($B$2)</f>
        <v>27</v>
      </c>
      <c r="C29" s="12" t="s">
        <v>16</v>
      </c>
      <c r="D29" s="7" t="s">
        <v>46</v>
      </c>
      <c r="E29" s="8" t="s">
        <v>84</v>
      </c>
      <c r="F29" s="7" t="s">
        <v>119</v>
      </c>
      <c r="G29" s="8" t="s">
        <v>140</v>
      </c>
      <c r="H29" s="7" t="s">
        <v>154</v>
      </c>
      <c r="I29" s="8" t="s">
        <v>191</v>
      </c>
      <c r="J29" s="7">
        <v>1</v>
      </c>
      <c r="K29" s="7"/>
    </row>
    <row r="30" spans="1:11" ht="15.75" thickBot="1">
      <c r="A30" s="1"/>
      <c r="B30" s="11">
        <f t="shared" si="0"/>
        <v>28</v>
      </c>
      <c r="C30" s="13" t="s">
        <v>15</v>
      </c>
      <c r="D30" s="9" t="s">
        <v>47</v>
      </c>
      <c r="E30" s="10" t="s">
        <v>85</v>
      </c>
      <c r="F30" s="9" t="s">
        <v>120</v>
      </c>
      <c r="G30" s="10" t="s">
        <v>141</v>
      </c>
      <c r="H30" s="9" t="s">
        <v>154</v>
      </c>
      <c r="I30" s="10" t="s">
        <v>187</v>
      </c>
      <c r="J30" s="9">
        <v>1</v>
      </c>
      <c r="K30" s="9"/>
    </row>
    <row r="31" spans="1:11" ht="36.75" thickBot="1">
      <c r="A31" s="1"/>
      <c r="B31" s="11">
        <f>ROW(B31) - ROW($B$2)</f>
        <v>29</v>
      </c>
      <c r="C31" s="12" t="s">
        <v>16</v>
      </c>
      <c r="D31" s="7" t="s">
        <v>48</v>
      </c>
      <c r="E31" s="8" t="s">
        <v>86</v>
      </c>
      <c r="F31" s="7" t="s">
        <v>117</v>
      </c>
      <c r="G31" s="8" t="s">
        <v>142</v>
      </c>
      <c r="H31" s="7" t="s">
        <v>173</v>
      </c>
      <c r="I31" s="8" t="s">
        <v>192</v>
      </c>
      <c r="J31" s="7">
        <v>1</v>
      </c>
      <c r="K31" s="7"/>
    </row>
    <row r="32" spans="1:11" ht="15.75" thickBot="1">
      <c r="A32" s="1"/>
      <c r="B32" s="11">
        <f t="shared" si="0"/>
        <v>30</v>
      </c>
      <c r="C32" s="13" t="s">
        <v>15</v>
      </c>
      <c r="D32" s="9" t="s">
        <v>49</v>
      </c>
      <c r="E32" s="10" t="s">
        <v>87</v>
      </c>
      <c r="F32" s="9" t="s">
        <v>116</v>
      </c>
      <c r="G32" s="10" t="s">
        <v>143</v>
      </c>
      <c r="H32" s="9" t="s">
        <v>154</v>
      </c>
      <c r="I32" s="10" t="s">
        <v>193</v>
      </c>
      <c r="J32" s="9">
        <v>1</v>
      </c>
      <c r="K32" s="9"/>
    </row>
    <row r="33" spans="1:11" ht="15.75" thickBot="1">
      <c r="A33" s="1"/>
      <c r="B33" s="11">
        <f>ROW(B33) - ROW($B$2)</f>
        <v>31</v>
      </c>
      <c r="C33" s="12"/>
      <c r="D33" s="7" t="s">
        <v>50</v>
      </c>
      <c r="E33" s="8" t="s">
        <v>88</v>
      </c>
      <c r="F33" s="7" t="s">
        <v>116</v>
      </c>
      <c r="G33" s="8" t="s">
        <v>144</v>
      </c>
      <c r="H33" s="7" t="s">
        <v>154</v>
      </c>
      <c r="I33" s="8" t="s">
        <v>194</v>
      </c>
      <c r="J33" s="7">
        <v>1</v>
      </c>
      <c r="K33" s="7"/>
    </row>
    <row r="34" spans="1:11" ht="15.75" thickBot="1">
      <c r="A34" s="1"/>
      <c r="B34" s="11">
        <f t="shared" si="0"/>
        <v>32</v>
      </c>
      <c r="C34" s="13" t="s">
        <v>15</v>
      </c>
      <c r="D34" s="9" t="s">
        <v>51</v>
      </c>
      <c r="E34" s="10" t="s">
        <v>89</v>
      </c>
      <c r="F34" s="9" t="s">
        <v>116</v>
      </c>
      <c r="G34" s="10" t="s">
        <v>145</v>
      </c>
      <c r="H34" s="9" t="s">
        <v>154</v>
      </c>
      <c r="I34" s="10" t="s">
        <v>192</v>
      </c>
      <c r="J34" s="9">
        <v>2</v>
      </c>
      <c r="K34" s="9"/>
    </row>
    <row r="35" spans="1:11" ht="15.75" thickBot="1">
      <c r="A35" s="1"/>
      <c r="B35" s="11">
        <f>ROW(B35) - ROW($B$2)</f>
        <v>33</v>
      </c>
      <c r="C35" s="12" t="s">
        <v>15</v>
      </c>
      <c r="D35" s="7" t="s">
        <v>52</v>
      </c>
      <c r="E35" s="8" t="s">
        <v>90</v>
      </c>
      <c r="F35" s="7" t="s">
        <v>116</v>
      </c>
      <c r="G35" s="8" t="s">
        <v>146</v>
      </c>
      <c r="H35" s="7" t="s">
        <v>154</v>
      </c>
      <c r="I35" s="8" t="s">
        <v>195</v>
      </c>
      <c r="J35" s="7">
        <v>1</v>
      </c>
      <c r="K35" s="7"/>
    </row>
    <row r="36" spans="1:11" ht="36.75" thickBot="1">
      <c r="A36" s="1"/>
      <c r="B36" s="11">
        <f t="shared" si="0"/>
        <v>34</v>
      </c>
      <c r="C36" s="13" t="s">
        <v>18</v>
      </c>
      <c r="D36" s="9" t="s">
        <v>53</v>
      </c>
      <c r="E36" s="10" t="s">
        <v>91</v>
      </c>
      <c r="F36" s="9" t="s">
        <v>121</v>
      </c>
      <c r="G36" s="10" t="s">
        <v>147</v>
      </c>
      <c r="H36" s="9" t="s">
        <v>174</v>
      </c>
      <c r="I36" s="10" t="s">
        <v>201</v>
      </c>
      <c r="J36" s="9">
        <v>1</v>
      </c>
      <c r="K36" s="9"/>
    </row>
    <row r="37" spans="1:11" ht="15.75" thickBot="1">
      <c r="A37" s="1"/>
      <c r="B37" s="11">
        <f>ROW(B37) - ROW($B$2)</f>
        <v>35</v>
      </c>
      <c r="C37" s="12" t="s">
        <v>18</v>
      </c>
      <c r="D37" s="7" t="s">
        <v>54</v>
      </c>
      <c r="E37" s="8" t="s">
        <v>92</v>
      </c>
      <c r="F37" s="7" t="s">
        <v>122</v>
      </c>
      <c r="G37" s="8" t="s">
        <v>148</v>
      </c>
      <c r="H37" s="7" t="s">
        <v>175</v>
      </c>
      <c r="I37" s="10" t="s">
        <v>201</v>
      </c>
      <c r="J37" s="7">
        <v>1</v>
      </c>
      <c r="K37" s="7"/>
    </row>
    <row r="38" spans="1:11" ht="15.75" thickBot="1">
      <c r="A38" s="1"/>
      <c r="B38" s="11">
        <f t="shared" si="0"/>
        <v>36</v>
      </c>
      <c r="C38" s="13" t="s">
        <v>18</v>
      </c>
      <c r="D38" s="9" t="s">
        <v>55</v>
      </c>
      <c r="E38" s="10" t="s">
        <v>93</v>
      </c>
      <c r="F38" s="9" t="s">
        <v>123</v>
      </c>
      <c r="G38" s="10" t="s">
        <v>149</v>
      </c>
      <c r="H38" s="9" t="s">
        <v>176</v>
      </c>
      <c r="I38" s="10" t="s">
        <v>201</v>
      </c>
      <c r="J38" s="9">
        <v>1</v>
      </c>
      <c r="K38" s="9"/>
    </row>
    <row r="39" spans="1:11" ht="15.75" thickBot="1">
      <c r="A39" s="1"/>
      <c r="B39" s="11">
        <f>ROW(B39) - ROW($B$2)</f>
        <v>37</v>
      </c>
      <c r="C39" s="12" t="s">
        <v>18</v>
      </c>
      <c r="D39" s="7" t="s">
        <v>56</v>
      </c>
      <c r="E39" s="8" t="s">
        <v>94</v>
      </c>
      <c r="F39" s="7" t="s">
        <v>124</v>
      </c>
      <c r="G39" s="8" t="s">
        <v>150</v>
      </c>
      <c r="H39" s="7" t="s">
        <v>167</v>
      </c>
      <c r="I39" s="10" t="s">
        <v>201</v>
      </c>
      <c r="J39" s="7">
        <v>1</v>
      </c>
      <c r="K39" s="7"/>
    </row>
    <row r="40" spans="1:11" ht="25.5" thickBot="1">
      <c r="B40" s="11">
        <f t="shared" ref="B40:B43" si="1">ROW(B40) - ROW($B$2)</f>
        <v>38</v>
      </c>
      <c r="C40" s="12" t="s">
        <v>204</v>
      </c>
      <c r="D40" s="7" t="s">
        <v>201</v>
      </c>
      <c r="E40" s="19" t="s">
        <v>205</v>
      </c>
      <c r="F40" s="7" t="s">
        <v>201</v>
      </c>
      <c r="G40" s="7" t="s">
        <v>206</v>
      </c>
      <c r="H40" s="7" t="s">
        <v>201</v>
      </c>
      <c r="I40" s="10" t="s">
        <v>201</v>
      </c>
      <c r="J40" s="7">
        <v>1</v>
      </c>
      <c r="K40" s="21" t="s">
        <v>210</v>
      </c>
    </row>
    <row r="41" spans="1:11" ht="15.75" thickBot="1">
      <c r="B41" s="11">
        <f t="shared" si="1"/>
        <v>39</v>
      </c>
      <c r="C41" s="12" t="s">
        <v>204</v>
      </c>
      <c r="D41" s="7" t="s">
        <v>201</v>
      </c>
      <c r="E41" s="22" t="s">
        <v>207</v>
      </c>
      <c r="F41" s="7" t="s">
        <v>201</v>
      </c>
      <c r="G41" s="7" t="s">
        <v>207</v>
      </c>
      <c r="H41" s="7" t="s">
        <v>201</v>
      </c>
      <c r="I41" s="10" t="s">
        <v>201</v>
      </c>
      <c r="J41" s="7">
        <v>1</v>
      </c>
      <c r="K41" s="21" t="s">
        <v>210</v>
      </c>
    </row>
    <row r="42" spans="1:11" ht="15.75" thickBot="1">
      <c r="B42" s="11">
        <f t="shared" si="1"/>
        <v>40</v>
      </c>
      <c r="C42" s="12" t="s">
        <v>204</v>
      </c>
      <c r="D42" s="7" t="s">
        <v>201</v>
      </c>
      <c r="E42" s="22" t="s">
        <v>208</v>
      </c>
      <c r="F42" s="7" t="s">
        <v>201</v>
      </c>
      <c r="G42" s="7" t="s">
        <v>208</v>
      </c>
      <c r="H42" s="7" t="s">
        <v>201</v>
      </c>
      <c r="I42" s="10" t="s">
        <v>201</v>
      </c>
      <c r="J42" s="7">
        <v>1</v>
      </c>
      <c r="K42" s="21" t="s">
        <v>210</v>
      </c>
    </row>
    <row r="43" spans="1:11" ht="15.75" thickBot="1">
      <c r="B43" s="11">
        <f t="shared" si="1"/>
        <v>41</v>
      </c>
      <c r="C43" s="12" t="s">
        <v>204</v>
      </c>
      <c r="D43" s="7" t="s">
        <v>201</v>
      </c>
      <c r="E43" s="22" t="s">
        <v>209</v>
      </c>
      <c r="F43" s="7" t="s">
        <v>201</v>
      </c>
      <c r="G43" s="7" t="s">
        <v>209</v>
      </c>
      <c r="H43" s="7" t="s">
        <v>201</v>
      </c>
      <c r="I43" s="10" t="s">
        <v>201</v>
      </c>
      <c r="J43" s="7">
        <v>1</v>
      </c>
      <c r="K43" s="21" t="s">
        <v>210</v>
      </c>
    </row>
  </sheetData>
  <mergeCells count="1">
    <mergeCell ref="I1:K1"/>
  </mergeCells>
  <hyperlinks>
    <hyperlink ref="K40" r:id="rId1"/>
    <hyperlink ref="K41" r:id="rId2"/>
    <hyperlink ref="K42" r:id="rId3"/>
    <hyperlink ref="K43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2024-12-20T11:14:59Z</dcterms:modified>
</cp:coreProperties>
</file>