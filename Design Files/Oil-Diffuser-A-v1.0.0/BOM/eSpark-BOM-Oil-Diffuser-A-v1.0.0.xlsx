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lliotrosenberg-oildiffuser\Design Files\Oil-Diffuser-A-v1.0.0\BOM\"/>
    </mc:Choice>
  </mc:AlternateContent>
  <bookViews>
    <workbookView xWindow="28680" yWindow="-120" windowWidth="29040" windowHeight="15840"/>
  </bookViews>
  <sheets>
    <sheet name="1 Boards" sheetId="2" r:id="rId1"/>
    <sheet name="3 Boards" sheetId="1" r:id="rId2"/>
  </sheets>
  <calcPr calcId="162913"/>
</workbook>
</file>

<file path=xl/calcChain.xml><?xml version="1.0" encoding="utf-8"?>
<calcChain xmlns="http://schemas.openxmlformats.org/spreadsheetml/2006/main">
  <c r="Q32" i="1" l="1"/>
  <c r="M31" i="1"/>
  <c r="Q31" i="1" s="1"/>
  <c r="B31" i="1"/>
  <c r="P32" i="2"/>
  <c r="P31" i="2"/>
  <c r="B31" i="2"/>
  <c r="P8" i="2" l="1"/>
  <c r="B9" i="2"/>
  <c r="P9" i="2"/>
  <c r="B10" i="2"/>
  <c r="P10" i="2"/>
  <c r="B11" i="2"/>
  <c r="P11" i="2"/>
  <c r="B12" i="2"/>
  <c r="P12" i="2"/>
  <c r="B13" i="2"/>
  <c r="P13" i="2"/>
  <c r="B14" i="2"/>
  <c r="P14" i="2"/>
  <c r="B15" i="2"/>
  <c r="P15" i="2"/>
  <c r="B16" i="2"/>
  <c r="P16" i="2"/>
  <c r="B17" i="2"/>
  <c r="P17" i="2"/>
  <c r="B18" i="2"/>
  <c r="P18" i="2"/>
  <c r="B19" i="2"/>
  <c r="P19" i="2"/>
  <c r="B20" i="2"/>
  <c r="P20" i="2"/>
  <c r="B21" i="2"/>
  <c r="P21" i="2"/>
  <c r="B22" i="2"/>
  <c r="B23" i="2"/>
  <c r="P23" i="2"/>
  <c r="B24" i="2"/>
  <c r="P24" i="2"/>
  <c r="B25" i="2"/>
  <c r="P25" i="2"/>
  <c r="B26" i="2"/>
  <c r="P26" i="2"/>
  <c r="B27" i="2"/>
  <c r="B28" i="2"/>
  <c r="P28" i="2"/>
  <c r="B29" i="2"/>
  <c r="P29" i="2"/>
  <c r="B30" i="2"/>
  <c r="P30" i="2"/>
  <c r="B8" i="2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3" i="1"/>
  <c r="M24" i="1"/>
  <c r="M25" i="1"/>
  <c r="M26" i="1"/>
  <c r="M27" i="1"/>
  <c r="M28" i="1"/>
  <c r="M29" i="1"/>
  <c r="M30" i="1"/>
  <c r="M22" i="1"/>
  <c r="Q30" i="1" l="1"/>
  <c r="B30" i="1"/>
  <c r="Q29" i="1"/>
  <c r="B29" i="1"/>
  <c r="Q28" i="1"/>
  <c r="B28" i="1"/>
  <c r="B27" i="1"/>
  <c r="Q26" i="1"/>
  <c r="B26" i="1"/>
  <c r="Q25" i="1"/>
  <c r="B25" i="1"/>
  <c r="Q24" i="1"/>
  <c r="B24" i="1"/>
  <c r="Q23" i="1"/>
  <c r="B23" i="1"/>
  <c r="B22" i="1"/>
  <c r="Q21" i="1"/>
  <c r="B21" i="1"/>
  <c r="Q20" i="1"/>
  <c r="B20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/>
  <c r="B11" i="1"/>
  <c r="Q10" i="1"/>
  <c r="B10" i="1"/>
  <c r="Q9" i="1" l="1"/>
  <c r="Q8" i="1"/>
  <c r="B9" i="1"/>
  <c r="B8" i="1"/>
  <c r="Q33" i="1" l="1"/>
</calcChain>
</file>

<file path=xl/sharedStrings.xml><?xml version="1.0" encoding="utf-8"?>
<sst xmlns="http://schemas.openxmlformats.org/spreadsheetml/2006/main" count="606" uniqueCount="204">
  <si>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</si>
  <si>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</si>
  <si>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</si>
  <si>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</si>
  <si>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</si>
  <si>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</si>
  <si>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</si>
  <si>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Capacitors</t>
  </si>
  <si>
    <t>Diode</t>
  </si>
  <si>
    <t>Fuse</t>
  </si>
  <si>
    <t>Terminal Blocks</t>
  </si>
  <si>
    <t>DC Jack</t>
  </si>
  <si>
    <t>Right Angle JST</t>
  </si>
  <si>
    <t>Wire To Board Connector</t>
  </si>
  <si>
    <t>Inductor</t>
  </si>
  <si>
    <t>LED</t>
  </si>
  <si>
    <t>TEST POINT</t>
  </si>
  <si>
    <t>MOSFET</t>
  </si>
  <si>
    <t>Resistor</t>
  </si>
  <si>
    <t>Resistors</t>
  </si>
  <si>
    <t>Potentiometer</t>
  </si>
  <si>
    <t>IC</t>
  </si>
  <si>
    <t>Designator</t>
  </si>
  <si>
    <t>C1, C4</t>
  </si>
  <si>
    <t>C2</t>
  </si>
  <si>
    <t>C3</t>
  </si>
  <si>
    <t>C5</t>
  </si>
  <si>
    <t>C6</t>
  </si>
  <si>
    <t>C7</t>
  </si>
  <si>
    <t>D1</t>
  </si>
  <si>
    <t>F1</t>
  </si>
  <si>
    <t>J1</t>
  </si>
  <si>
    <t>J2</t>
  </si>
  <si>
    <t>J3</t>
  </si>
  <si>
    <t>J4</t>
  </si>
  <si>
    <t>L1</t>
  </si>
  <si>
    <t>LED1</t>
  </si>
  <si>
    <t>P1, P2</t>
  </si>
  <si>
    <t>Q1</t>
  </si>
  <si>
    <t>R1</t>
  </si>
  <si>
    <t>R2</t>
  </si>
  <si>
    <t>R3</t>
  </si>
  <si>
    <t>R4</t>
  </si>
  <si>
    <t>R5</t>
  </si>
  <si>
    <t>U1</t>
  </si>
  <si>
    <t>U2</t>
  </si>
  <si>
    <t>Description</t>
  </si>
  <si>
    <t>CAP CER 0.1UF 100V X7R 0603</t>
  </si>
  <si>
    <t>CAP CER 10000PF 1KV X7R RADIAL</t>
  </si>
  <si>
    <t>100uF 80V 735mA@100kHz ±20% SMD,D8xL14.5mm Aluminum Electrolytic Capacitors - SMD ROHS</t>
  </si>
  <si>
    <t>100nF ±5% 100V Plugin,P=5mm Polypropylene Film Capacitors (CBB) ROHS</t>
  </si>
  <si>
    <t>CAP CER 100UF 16V X5R 1210</t>
  </si>
  <si>
    <t>CAP CER 10000PF 50V X8R 0603</t>
  </si>
  <si>
    <t>SCHOTTKY DIODE SMB 100V 5A</t>
  </si>
  <si>
    <t>50A SMD Fuse 1A 63V 63V 1206 Disposable fuses ROHS_x000D_
PTC RESET FUSE 6V 3A 1206</t>
  </si>
  <si>
    <t>TERM BLK 2P SIDE ENT 5.08MM PCB</t>
  </si>
  <si>
    <t>DC Power Receptacle 260℃ Brass -20℃~+70℃ 2.5mm 6mm 2.5A 24V Plugin AC/DC Power Connectors ROHS</t>
  </si>
  <si>
    <t>1x2P 1 2mm Male pin 2 -25℃~+85℃ 2A Surface Mount SMD,P=2mm Wire To Board / Wire To Wire Connector ROHS</t>
  </si>
  <si>
    <t>1x2P 2P XH 1 Tin 2.5mm 2 -25℃~+85℃ Brass 3A Straight Plugin,P=2.5mm Wire To Board Connector ROHS</t>
  </si>
  <si>
    <t>FIXED IND 220UH 500MA 1.495 OHM</t>
  </si>
  <si>
    <t>White light 0603 Light Emitting Diodes (LED) ROHS</t>
  </si>
  <si>
    <t>Test Point ON</t>
  </si>
  <si>
    <t>MOSFET N-CH 55V 17A DPAK</t>
  </si>
  <si>
    <t>RES 1K OHM 1% 1/8W 0805</t>
  </si>
  <si>
    <t>RES 10 OHM 1% 1/4W 1206</t>
  </si>
  <si>
    <t>RES SMD 100 OHM 1% 1/10W 0603</t>
  </si>
  <si>
    <t>Cermet Not Linear VERTICAL Trimmer Potentiometer 卤10% 280deg 500mW 85C</t>
  </si>
  <si>
    <t>RES 470 OHM 1% 1/10W 0603</t>
  </si>
  <si>
    <t>IC REG LINEAR 12V 100MA SOT89-3</t>
  </si>
  <si>
    <t>NO SOP-8 Timers ROHS</t>
  </si>
  <si>
    <t>Footprint</t>
  </si>
  <si>
    <t>Cap-0603</t>
  </si>
  <si>
    <t>RDER73A103K2K1H03B</t>
  </si>
  <si>
    <t>VKMD1451K101MV</t>
  </si>
  <si>
    <t>MEM104J2A-7-50R0-T3.5</t>
  </si>
  <si>
    <t>Cap-1210</t>
  </si>
  <si>
    <t>SMB_</t>
  </si>
  <si>
    <t>Fuse 1206 (3216 Metric)</t>
  </si>
  <si>
    <t>DC-0360-2.5</t>
  </si>
  <si>
    <t>WAFER-PH2.0-2PWB</t>
  </si>
  <si>
    <t>XH-2A-L</t>
  </si>
  <si>
    <t>LED-0603</t>
  </si>
  <si>
    <t>Test-point</t>
  </si>
  <si>
    <t>DPAK</t>
  </si>
  <si>
    <t>RES-0805</t>
  </si>
  <si>
    <t>Res-1206</t>
  </si>
  <si>
    <t>Res-0603</t>
  </si>
  <si>
    <t>3386P-1-502LF</t>
  </si>
  <si>
    <t>SOT-89-3</t>
  </si>
  <si>
    <t>SOP-8</t>
  </si>
  <si>
    <t>Manufacturer Part Number</t>
  </si>
  <si>
    <t>CC0603KRX7R0BB104</t>
  </si>
  <si>
    <t>EMK325ABJ107MM-P</t>
  </si>
  <si>
    <t>SS510B</t>
  </si>
  <si>
    <t>JFC1206-1100FS</t>
  </si>
  <si>
    <t>VLS6045EX-221M</t>
  </si>
  <si>
    <t>NCD0603W3</t>
  </si>
  <si>
    <t>IRFR024NTRPBF</t>
  </si>
  <si>
    <t>RC0805FR-071KL</t>
  </si>
  <si>
    <t>RC1206FR-0710RL</t>
  </si>
  <si>
    <t>CRCW0603100RFKEA</t>
  </si>
  <si>
    <t>RC0603FR-07470RL</t>
  </si>
  <si>
    <t>L78L12ABUTR</t>
  </si>
  <si>
    <t>NE555DTR(XBLW)</t>
  </si>
  <si>
    <t>Manufacturer</t>
  </si>
  <si>
    <t>Yageo</t>
  </si>
  <si>
    <t>Murata</t>
  </si>
  <si>
    <t>Ymin</t>
  </si>
  <si>
    <t>Hongzhi Elec</t>
  </si>
  <si>
    <t>Taiyo Yuden</t>
  </si>
  <si>
    <t>MDD</t>
  </si>
  <si>
    <t>Shenzhen JDT Fuse</t>
  </si>
  <si>
    <t>Phoenix Contact</t>
  </si>
  <si>
    <t>XKB Connectivity</t>
  </si>
  <si>
    <t>XUNPU</t>
  </si>
  <si>
    <t>HCTL</t>
  </si>
  <si>
    <t>TDK</t>
  </si>
  <si>
    <t>Foshan NationStar Optoelectronics</t>
  </si>
  <si>
    <t>Infineon</t>
  </si>
  <si>
    <t>Vishay Dale</t>
  </si>
  <si>
    <t>BOURNS</t>
  </si>
  <si>
    <t>STMicroelectronics</t>
  </si>
  <si>
    <t>XBLW</t>
  </si>
  <si>
    <t>LCSC Part Number</t>
  </si>
  <si>
    <t>C113803</t>
  </si>
  <si>
    <t>C162686</t>
  </si>
  <si>
    <t>C487409</t>
  </si>
  <si>
    <t>C333838</t>
  </si>
  <si>
    <t>C90143</t>
  </si>
  <si>
    <t>C710687</t>
  </si>
  <si>
    <t>C3011128</t>
  </si>
  <si>
    <t>C136343</t>
  </si>
  <si>
    <t>C480516</t>
  </si>
  <si>
    <t>C319122</t>
  </si>
  <si>
    <t>C3029440</t>
  </si>
  <si>
    <t>C2908597</t>
  </si>
  <si>
    <t>C404509</t>
  </si>
  <si>
    <t>C158100</t>
  </si>
  <si>
    <t>C95781</t>
  </si>
  <si>
    <t>C108080</t>
  </si>
  <si>
    <t>C844917</t>
  </si>
  <si>
    <t>C116296</t>
  </si>
  <si>
    <t>C114669</t>
  </si>
  <si>
    <t>C915681</t>
  </si>
  <si>
    <t>C18723595</t>
  </si>
  <si>
    <t>0.1uF</t>
  </si>
  <si>
    <t>100uF</t>
  </si>
  <si>
    <t>100nF</t>
  </si>
  <si>
    <t>10nF</t>
  </si>
  <si>
    <t>220uH</t>
  </si>
  <si>
    <t>1K</t>
  </si>
  <si>
    <t>10R</t>
  </si>
  <si>
    <t>100R</t>
  </si>
  <si>
    <t>DNP</t>
  </si>
  <si>
    <t>470R</t>
  </si>
  <si>
    <t>Quantity</t>
  </si>
  <si>
    <t>Bill of Materials for Project [Oil-Diffuser-A-v1.0.0}</t>
  </si>
  <si>
    <t>Oil-Diffuser-A-v1.0.0</t>
  </si>
  <si>
    <t>Alternate Part Number</t>
  </si>
  <si>
    <t>Value</t>
  </si>
  <si>
    <t>Links</t>
  </si>
  <si>
    <t>Remarks</t>
  </si>
  <si>
    <t>Quantity (3 Boards)</t>
  </si>
  <si>
    <t>MOQ (3 Boards)</t>
  </si>
  <si>
    <t>Unit Cost (3 Boards)</t>
  </si>
  <si>
    <t>Total Cost (3 Boards)</t>
  </si>
  <si>
    <t>-</t>
  </si>
  <si>
    <t>DO NOT PLACE</t>
  </si>
  <si>
    <t>C2583</t>
  </si>
  <si>
    <t>100</t>
  </si>
  <si>
    <t>5</t>
  </si>
  <si>
    <t>10</t>
  </si>
  <si>
    <t>20</t>
  </si>
  <si>
    <t>50</t>
  </si>
  <si>
    <t>LCSC</t>
  </si>
  <si>
    <t>0.0043</t>
  </si>
  <si>
    <t>0.6424</t>
  </si>
  <si>
    <t>0.1625</t>
  </si>
  <si>
    <t>0.0341</t>
  </si>
  <si>
    <t>0.4566</t>
  </si>
  <si>
    <t>0.0313</t>
  </si>
  <si>
    <t>0.0594</t>
  </si>
  <si>
    <t>0.0279</t>
  </si>
  <si>
    <t>0.3559</t>
  </si>
  <si>
    <t>0.1350</t>
  </si>
  <si>
    <t>0.0480</t>
  </si>
  <si>
    <t>0.0143</t>
  </si>
  <si>
    <t>0.1082</t>
  </si>
  <si>
    <t>0.0253</t>
  </si>
  <si>
    <t>0.2374</t>
  </si>
  <si>
    <t>0.0018</t>
  </si>
  <si>
    <t>0.0088</t>
  </si>
  <si>
    <t>0.0031</t>
  </si>
  <si>
    <t>0.0012</t>
  </si>
  <si>
    <t>0.1153</t>
  </si>
  <si>
    <t>0.0303</t>
  </si>
  <si>
    <t>GCM188R91H103KA37D</t>
  </si>
  <si>
    <t>Murata Electronics</t>
  </si>
  <si>
    <t>Custom</t>
  </si>
  <si>
    <t>------</t>
  </si>
  <si>
    <t>Peripheral</t>
  </si>
  <si>
    <t>Amazon</t>
  </si>
  <si>
    <t>Gardner Bender GSW-18 Heavy-Duty Electrical Toggle Switch, SPST, ON-OFF, 8 A/125 V, 6 inch Wire Terminal,Silver - ⅓ HP/125 V AC, 10 A/125 V AC</t>
  </si>
  <si>
    <t>Toggle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</si>
</sst>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6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10"/>
      <name val="Arial"/>
      <family val="2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sz val="9"/>
      <color rgb="FFFF0000"/>
      <name val="Calibri"/>
      <family val="2"/>
      <scheme val="minor"/>
    </font>
    <font>
      <strike/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21" fillId="0" borderId="0"/>
    <xf numFmtId="0" fontId="22" fillId="0" borderId="0" applyNumberFormat="0" applyFill="0" applyBorder="0" applyAlignment="0" applyProtection="0">
      <alignment vertical="center"/>
    </xf>
  </cellStyleXfs>
  <cellXfs count="5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9" fillId="2" borderId="8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165" fontId="19" fillId="2" borderId="8" xfId="0" applyNumberFormat="1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3" fillId="0" borderId="11" xfId="2" applyFont="1" applyBorder="1" applyAlignment="1">
      <alignment horizontal="center" wrapText="1"/>
    </xf>
    <xf numFmtId="0" fontId="24" fillId="2" borderId="7" xfId="0" applyFont="1" applyFill="1" applyBorder="1" applyAlignment="1">
      <alignment horizontal="center" vertical="center" wrapText="1"/>
    </xf>
    <xf numFmtId="0" fontId="23" fillId="0" borderId="11" xfId="2" applyFont="1" applyBorder="1" applyAlignment="1">
      <alignment horizontal="center" vertical="center" wrapText="1"/>
    </xf>
    <xf numFmtId="0" fontId="25" fillId="0" borderId="11" xfId="2" applyFont="1" applyBorder="1" applyAlignment="1">
      <alignment horizontal="center" vertical="center" wrapText="1"/>
    </xf>
    <xf numFmtId="0" fontId="15" fillId="2" borderId="7" xfId="0" quotePrefix="1" applyFont="1" applyFill="1" applyBorder="1" applyAlignment="1">
      <alignment horizontal="center" vertical="center" wrapText="1"/>
    </xf>
    <xf numFmtId="0" fontId="24" fillId="2" borderId="7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</cellXfs>
  <cellStyles count="3">
    <cellStyle name="Hyperlink" xfId="2" builtinId="8"/>
    <cellStyle name="Normal" xfId="0" builtinId="0"/>
    <cellStyle name="Normal 2" xfId="1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mosfets_infineon-technologies-irfr024ntrpbf_C2583.html" TargetMode="External"/><Relationship Id="rId13" Type="http://schemas.openxmlformats.org/officeDocument/2006/relationships/hyperlink" Target="https://www.lcsc.com/product-detail/dc-power-connectors_xkb-connection-dc-0360-2-5_C319122.html" TargetMode="External"/><Relationship Id="rId18" Type="http://schemas.openxmlformats.org/officeDocument/2006/relationships/hyperlink" Target="https://www.lcsc.com/product-detail/multilayer-ceramic-capacitors-mlcc-smd-smt_taiyo-yuden-emk325abj107mm-p_C90143.html" TargetMode="External"/><Relationship Id="rId3" Type="http://schemas.openxmlformats.org/officeDocument/2006/relationships/hyperlink" Target="https://www.lcsc.com/product-detail/chip-resistor-surface-mount_yageo-rc0603fr-07470rl_C114669.html" TargetMode="External"/><Relationship Id="rId21" Type="http://schemas.openxmlformats.org/officeDocument/2006/relationships/hyperlink" Target="https://www.lcsc.com/product-detail/multilayer-ceramic-capacitors-mlcc-leaded_murata-electronics-rder73a103k2k1h03b_C162686.html" TargetMode="External"/><Relationship Id="rId7" Type="http://schemas.openxmlformats.org/officeDocument/2006/relationships/hyperlink" Target="https://www.lcsc.com/product-detail/chip-resistor-surface-mount_yageo-rc0805fr-071kl_C95781.html" TargetMode="External"/><Relationship Id="rId12" Type="http://schemas.openxmlformats.org/officeDocument/2006/relationships/hyperlink" Target="https://www.lcsc.com/product-detail/wire-to-board-connector_xunpu-wafer-ph2-0-2pwb_C3029440.html" TargetMode="External"/><Relationship Id="rId17" Type="http://schemas.openxmlformats.org/officeDocument/2006/relationships/hyperlink" Target="https://www.lcsc.com/product-detail/multilayer-ceramic-capacitors-mlcc-smd-smt_murata-electronics-gcm188r91h103ka37d_C710687.html" TargetMode="External"/><Relationship Id="rId2" Type="http://schemas.openxmlformats.org/officeDocument/2006/relationships/hyperlink" Target="https://www.lcsc.com/product-detail/voltage-regulators-linear-low-drop-out-ldo-regulators_stmicroelectronics-l78l12abutr_C915681.html" TargetMode="External"/><Relationship Id="rId16" Type="http://schemas.openxmlformats.org/officeDocument/2006/relationships/hyperlink" Target="https://www.lcsc.com/product-detail/schottky-diodes_juxing-ss510b_C3011128.html" TargetMode="External"/><Relationship Id="rId20" Type="http://schemas.openxmlformats.org/officeDocument/2006/relationships/hyperlink" Target="https://www.lcsc.com/product-detail/aluminum-electrolytic-capacitors-smd_ymin-vkmd1451k101mv_C487409.html" TargetMode="External"/><Relationship Id="rId1" Type="http://schemas.openxmlformats.org/officeDocument/2006/relationships/hyperlink" Target="https://www.lcsc.com/product-detail/timers-counters_xblw-ne555dtr-xblw_C18723595.html" TargetMode="External"/><Relationship Id="rId6" Type="http://schemas.openxmlformats.org/officeDocument/2006/relationships/hyperlink" Target="https://www.lcsc.com/product-detail/chip-resistor-surface-mount_yageo-rc1206fr-0710rl_C108080.html" TargetMode="External"/><Relationship Id="rId11" Type="http://schemas.openxmlformats.org/officeDocument/2006/relationships/hyperlink" Target="https://www.lcsc.com/product-detail/wire-to-board-connector_hctl-xh-2a-l_C2908597.html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chip-resistor-surface-mount_vishay-intertech-crcw0603100rfkea_C844917.html" TargetMode="External"/><Relationship Id="rId15" Type="http://schemas.openxmlformats.org/officeDocument/2006/relationships/hyperlink" Target="https://www.lcsc.com/product-detail/disposable-fuses_shenzhen-jdt-fuse-jfc1206-1100fs_C136343.html" TargetMode="External"/><Relationship Id="rId23" Type="http://schemas.openxmlformats.org/officeDocument/2006/relationships/hyperlink" Target="https://www.amazon.com/Gardner-Bender-GSW-18-Heavy-Duty-Electrical/dp/B00004WLKC/ref=asc_df_B00004WLKC/?th=1" TargetMode="External"/><Relationship Id="rId10" Type="http://schemas.openxmlformats.org/officeDocument/2006/relationships/hyperlink" Target="https://www.lcsc.com/product-detail/power-inductors_tdk-vls6045ex-221m_C404509.html" TargetMode="External"/><Relationship Id="rId19" Type="http://schemas.openxmlformats.org/officeDocument/2006/relationships/hyperlink" Target="https://www.lcsc.com/product-detail/polypropylene-film-capacitors-cbb_hongzhi-elec-mem104j2a-7-50r0-t3-5_C333838.html" TargetMode="External"/><Relationship Id="rId4" Type="http://schemas.openxmlformats.org/officeDocument/2006/relationships/hyperlink" Target="https://www.lcsc.com/product-detail/potentiometers-variable-resistors_bourns-3386p-1-502lf_C116296.html" TargetMode="External"/><Relationship Id="rId9" Type="http://schemas.openxmlformats.org/officeDocument/2006/relationships/hyperlink" Target="https://www.lcsc.com/product-detail/led-indication-discrete_foshan-nationstar-optoelectronics-ncd0603w3_C158100.html" TargetMode="External"/><Relationship Id="rId14" Type="http://schemas.openxmlformats.org/officeDocument/2006/relationships/hyperlink" Target="https://www.lcsc.com/product-detail/screw-terminal-blocks_phoenix-contact-1715721_C480516.html" TargetMode="External"/><Relationship Id="rId22" Type="http://schemas.openxmlformats.org/officeDocument/2006/relationships/hyperlink" Target="https://www.lcsc.com/product-detail/multilayer-ceramic-capacitors-mlcc-smd-smt_yageo-cc0603krx7r0bb104_C113803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disposable-fuses_shenzhen-jdt-fuse-jfc1206-1100fs_C136343.html" TargetMode="External"/><Relationship Id="rId13" Type="http://schemas.openxmlformats.org/officeDocument/2006/relationships/hyperlink" Target="https://www.lcsc.com/product-detail/power-inductors_tdk-vls6045ex-221m_C404509.html" TargetMode="External"/><Relationship Id="rId18" Type="http://schemas.openxmlformats.org/officeDocument/2006/relationships/hyperlink" Target="https://www.lcsc.com/product-detail/chip-resistor-surface-mount_vishay-intertech-crcw0603100rfkea_C844917.html" TargetMode="External"/><Relationship Id="rId3" Type="http://schemas.openxmlformats.org/officeDocument/2006/relationships/hyperlink" Target="https://www.lcsc.com/product-detail/aluminum-electrolytic-capacitors-smd_ymin-vkmd1451k101mv_C487409.html" TargetMode="External"/><Relationship Id="rId21" Type="http://schemas.openxmlformats.org/officeDocument/2006/relationships/hyperlink" Target="https://www.lcsc.com/product-detail/voltage-regulators-linear-low-drop-out-ldo-regulators_stmicroelectronics-l78l12abutr_C915681.html" TargetMode="External"/><Relationship Id="rId7" Type="http://schemas.openxmlformats.org/officeDocument/2006/relationships/hyperlink" Target="https://www.lcsc.com/product-detail/schottky-diodes_juxing-ss510b_C3011128.html" TargetMode="External"/><Relationship Id="rId12" Type="http://schemas.openxmlformats.org/officeDocument/2006/relationships/hyperlink" Target="https://www.lcsc.com/product-detail/wire-to-board-connector_hctl-xh-2a-l_C2908597.html" TargetMode="External"/><Relationship Id="rId17" Type="http://schemas.openxmlformats.org/officeDocument/2006/relationships/hyperlink" Target="https://www.lcsc.com/product-detail/chip-resistor-surface-mount_yageo-rc1206fr-0710rl_C108080.html" TargetMode="External"/><Relationship Id="rId2" Type="http://schemas.openxmlformats.org/officeDocument/2006/relationships/hyperlink" Target="https://www.lcsc.com/product-detail/multilayer-ceramic-capacitors-mlcc-leaded_murata-electronics-rder73a103k2k1h03b_C162686.html" TargetMode="External"/><Relationship Id="rId16" Type="http://schemas.openxmlformats.org/officeDocument/2006/relationships/hyperlink" Target="https://www.lcsc.com/product-detail/chip-resistor-surface-mount_yageo-rc0805fr-071kl_C95781.html" TargetMode="External"/><Relationship Id="rId20" Type="http://schemas.openxmlformats.org/officeDocument/2006/relationships/hyperlink" Target="https://www.lcsc.com/product-detail/chip-resistor-surface-mount_yageo-rc0603fr-07470rl_C114669.html" TargetMode="External"/><Relationship Id="rId1" Type="http://schemas.openxmlformats.org/officeDocument/2006/relationships/hyperlink" Target="https://www.lcsc.com/product-detail/multilayer-ceramic-capacitors-mlcc-smd-smt_yageo-cc0603krx7r0bb104_C113803.html" TargetMode="External"/><Relationship Id="rId6" Type="http://schemas.openxmlformats.org/officeDocument/2006/relationships/hyperlink" Target="https://www.lcsc.com/product-detail/multilayer-ceramic-capacitors-mlcc-smd-smt_murata-electronics-gcm188r91h103ka37d_C710687.html" TargetMode="External"/><Relationship Id="rId11" Type="http://schemas.openxmlformats.org/officeDocument/2006/relationships/hyperlink" Target="https://www.lcsc.com/product-detail/wire-to-board-connector_xunpu-wafer-ph2-0-2pwb_C3029440.html" TargetMode="External"/><Relationship Id="rId24" Type="http://schemas.openxmlformats.org/officeDocument/2006/relationships/printerSettings" Target="../printerSettings/printerSettings2.bin"/><Relationship Id="rId5" Type="http://schemas.openxmlformats.org/officeDocument/2006/relationships/hyperlink" Target="https://www.lcsc.com/product-detail/multilayer-ceramic-capacitors-mlcc-smd-smt_taiyo-yuden-emk325abj107mm-p_C90143.html" TargetMode="External"/><Relationship Id="rId15" Type="http://schemas.openxmlformats.org/officeDocument/2006/relationships/hyperlink" Target="https://www.lcsc.com/product-detail/mosfets_infineon-technologies-irfr024ntrpbf_C2583.html" TargetMode="External"/><Relationship Id="rId23" Type="http://schemas.openxmlformats.org/officeDocument/2006/relationships/hyperlink" Target="https://www.amazon.com/Gardner-Bender-GSW-18-Heavy-Duty-Electrical/dp/B00004WLKC/ref=asc_df_B00004WLKC/?th=1" TargetMode="External"/><Relationship Id="rId10" Type="http://schemas.openxmlformats.org/officeDocument/2006/relationships/hyperlink" Target="https://www.lcsc.com/product-detail/dc-power-connectors_xkb-connection-dc-0360-2-5_C319122.html" TargetMode="External"/><Relationship Id="rId19" Type="http://schemas.openxmlformats.org/officeDocument/2006/relationships/hyperlink" Target="https://www.lcsc.com/product-detail/potentiometers-variable-resistors_bourns-3386p-1-502lf_C116296.html" TargetMode="External"/><Relationship Id="rId4" Type="http://schemas.openxmlformats.org/officeDocument/2006/relationships/hyperlink" Target="https://www.lcsc.com/product-detail/polypropylene-film-capacitors-cbb_hongzhi-elec-mem104j2a-7-50r0-t3-5_C333838.html" TargetMode="External"/><Relationship Id="rId9" Type="http://schemas.openxmlformats.org/officeDocument/2006/relationships/hyperlink" Target="https://www.lcsc.com/product-detail/screw-terminal-blocks_phoenix-contact-1715721_C480516.html" TargetMode="External"/><Relationship Id="rId14" Type="http://schemas.openxmlformats.org/officeDocument/2006/relationships/hyperlink" Target="https://www.lcsc.com/product-detail/led-indication-discrete_foshan-nationstar-optoelectronics-ncd0603w3_C158100.html" TargetMode="External"/><Relationship Id="rId22" Type="http://schemas.openxmlformats.org/officeDocument/2006/relationships/hyperlink" Target="https://www.lcsc.com/product-detail/timers-counters_xblw-ne555dtr-xblw_C1872359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topLeftCell="A14" workbookViewId="0">
      <selection activeCell="D22" sqref="D22"/>
    </sheetView>
  </sheetViews>
  <sheetFormatPr defaultRowHeight="15"/>
  <cols>
    <col min="2" max="2" width="3" bestFit="1" customWidth="1"/>
    <col min="3" max="3" width="14.140625" customWidth="1"/>
    <col min="4" max="4" width="31.140625" bestFit="1" customWidth="1"/>
    <col min="5" max="5" width="26.7109375" customWidth="1"/>
    <col min="6" max="6" width="15.28515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5.140625" bestFit="1" customWidth="1"/>
    <col min="14" max="14" width="8.7109375" customWidth="1"/>
    <col min="15" max="15" width="18.7109375" bestFit="1" customWidth="1"/>
    <col min="16" max="16" width="19.28515625" bestFit="1" customWidth="1"/>
    <col min="17" max="17" width="8.5703125" bestFit="1" customWidth="1"/>
  </cols>
  <sheetData>
    <row r="1" spans="1:17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52"/>
      <c r="L1" s="52"/>
      <c r="M1" s="52"/>
      <c r="N1" s="52"/>
      <c r="O1" s="52"/>
      <c r="P1" s="52"/>
      <c r="Q1" s="52"/>
    </row>
    <row r="2" spans="1:17" ht="32.25" thickBot="1">
      <c r="A2" s="1"/>
      <c r="B2" s="7"/>
      <c r="C2" s="13"/>
      <c r="D2" s="4" t="s">
        <v>0</v>
      </c>
      <c r="E2" s="4"/>
      <c r="F2" s="40" t="s">
        <v>156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</row>
    <row r="3" spans="1:17" ht="16.5" thickBot="1">
      <c r="A3" s="1"/>
      <c r="B3" s="8"/>
      <c r="C3" s="26"/>
      <c r="D3" s="39" t="s">
        <v>1</v>
      </c>
      <c r="E3" s="27"/>
      <c r="F3" s="41" t="s">
        <v>157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</row>
    <row r="4" spans="1:17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</row>
    <row r="5" spans="1:17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</row>
    <row r="6" spans="1:17" ht="15.75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</row>
    <row r="7" spans="1:17" ht="15.75" thickBot="1">
      <c r="A7" s="1"/>
      <c r="B7" s="12" t="s">
        <v>2</v>
      </c>
      <c r="C7" s="12" t="s">
        <v>5</v>
      </c>
      <c r="D7" s="12" t="s">
        <v>22</v>
      </c>
      <c r="E7" s="12" t="s">
        <v>46</v>
      </c>
      <c r="F7" s="12" t="s">
        <v>70</v>
      </c>
      <c r="G7" s="12" t="s">
        <v>90</v>
      </c>
      <c r="H7" s="12" t="s">
        <v>104</v>
      </c>
      <c r="I7" s="12" t="s">
        <v>158</v>
      </c>
      <c r="J7" s="12" t="s">
        <v>123</v>
      </c>
      <c r="K7" s="12" t="s">
        <v>159</v>
      </c>
      <c r="L7" s="12" t="s">
        <v>155</v>
      </c>
      <c r="M7" s="12" t="s">
        <v>163</v>
      </c>
      <c r="N7" s="12" t="s">
        <v>160</v>
      </c>
      <c r="O7" s="12" t="s">
        <v>164</v>
      </c>
      <c r="P7" s="12" t="s">
        <v>165</v>
      </c>
      <c r="Q7" s="12" t="s">
        <v>161</v>
      </c>
    </row>
    <row r="8" spans="1:17">
      <c r="A8" s="1"/>
      <c r="B8" s="16">
        <f>ROW(B8) - ROW($B$7)</f>
        <v>1</v>
      </c>
      <c r="C8" s="22" t="s">
        <v>6</v>
      </c>
      <c r="D8" s="14" t="s">
        <v>23</v>
      </c>
      <c r="E8" s="14" t="s">
        <v>47</v>
      </c>
      <c r="F8" s="14" t="s">
        <v>71</v>
      </c>
      <c r="G8" s="14" t="s">
        <v>91</v>
      </c>
      <c r="H8" s="14" t="s">
        <v>105</v>
      </c>
      <c r="I8" s="50" t="s">
        <v>199</v>
      </c>
      <c r="J8" s="14" t="s">
        <v>124</v>
      </c>
      <c r="K8" s="14" t="s">
        <v>145</v>
      </c>
      <c r="L8" s="14">
        <v>2</v>
      </c>
      <c r="M8" s="14" t="s">
        <v>169</v>
      </c>
      <c r="N8" s="46" t="s">
        <v>174</v>
      </c>
      <c r="O8" s="21" t="s">
        <v>175</v>
      </c>
      <c r="P8" s="15">
        <f>O8*M8</f>
        <v>0.43</v>
      </c>
      <c r="Q8" s="14"/>
    </row>
    <row r="9" spans="1:17">
      <c r="A9" s="1"/>
      <c r="B9" s="17">
        <f t="shared" ref="B9:B29" si="0">ROW(B9) - ROW($B$7)</f>
        <v>2</v>
      </c>
      <c r="C9" s="23" t="s">
        <v>7</v>
      </c>
      <c r="D9" s="20" t="s">
        <v>24</v>
      </c>
      <c r="E9" s="20" t="s">
        <v>48</v>
      </c>
      <c r="F9" s="14" t="s">
        <v>198</v>
      </c>
      <c r="G9" s="20" t="s">
        <v>72</v>
      </c>
      <c r="H9" s="20" t="s">
        <v>106</v>
      </c>
      <c r="I9" s="50" t="s">
        <v>199</v>
      </c>
      <c r="J9" s="20" t="s">
        <v>125</v>
      </c>
      <c r="K9" s="20" t="s">
        <v>145</v>
      </c>
      <c r="L9" s="20">
        <v>1</v>
      </c>
      <c r="M9" s="14">
        <v>2</v>
      </c>
      <c r="N9" s="46" t="s">
        <v>174</v>
      </c>
      <c r="O9" s="21" t="s">
        <v>176</v>
      </c>
      <c r="P9" s="21">
        <f t="shared" ref="P9" si="1">O9*M9</f>
        <v>1.2847999999999999</v>
      </c>
      <c r="Q9" s="20"/>
    </row>
    <row r="10" spans="1:17" ht="48">
      <c r="A10" s="1"/>
      <c r="B10" s="16">
        <f>ROW(B10) - ROW($B$7)</f>
        <v>3</v>
      </c>
      <c r="C10" s="22" t="s">
        <v>6</v>
      </c>
      <c r="D10" s="14" t="s">
        <v>25</v>
      </c>
      <c r="E10" s="14" t="s">
        <v>49</v>
      </c>
      <c r="F10" s="14" t="s">
        <v>198</v>
      </c>
      <c r="G10" s="14" t="s">
        <v>73</v>
      </c>
      <c r="H10" s="14" t="s">
        <v>107</v>
      </c>
      <c r="I10" s="50" t="s">
        <v>199</v>
      </c>
      <c r="J10" s="14" t="s">
        <v>126</v>
      </c>
      <c r="K10" s="14" t="s">
        <v>146</v>
      </c>
      <c r="L10" s="14">
        <v>1</v>
      </c>
      <c r="M10" s="14">
        <v>2</v>
      </c>
      <c r="N10" s="48" t="s">
        <v>174</v>
      </c>
      <c r="O10" s="21" t="s">
        <v>177</v>
      </c>
      <c r="P10" s="15">
        <f>O10*M10</f>
        <v>0.32500000000000001</v>
      </c>
      <c r="Q10" s="14"/>
    </row>
    <row r="11" spans="1:17" ht="36">
      <c r="A11" s="1"/>
      <c r="B11" s="17">
        <f t="shared" si="0"/>
        <v>4</v>
      </c>
      <c r="C11" s="23" t="s">
        <v>6</v>
      </c>
      <c r="D11" s="20" t="s">
        <v>26</v>
      </c>
      <c r="E11" s="20" t="s">
        <v>50</v>
      </c>
      <c r="F11" s="14" t="s">
        <v>198</v>
      </c>
      <c r="G11" s="20" t="s">
        <v>74</v>
      </c>
      <c r="H11" s="20" t="s">
        <v>108</v>
      </c>
      <c r="I11" s="50" t="s">
        <v>199</v>
      </c>
      <c r="J11" s="20" t="s">
        <v>127</v>
      </c>
      <c r="K11" s="20" t="s">
        <v>147</v>
      </c>
      <c r="L11" s="20">
        <v>1</v>
      </c>
      <c r="M11" s="14" t="s">
        <v>171</v>
      </c>
      <c r="N11" s="48" t="s">
        <v>174</v>
      </c>
      <c r="O11" s="21" t="s">
        <v>178</v>
      </c>
      <c r="P11" s="21">
        <f t="shared" ref="P11" si="2">O11*M11</f>
        <v>0.34099999999999997</v>
      </c>
      <c r="Q11" s="20"/>
    </row>
    <row r="12" spans="1:17">
      <c r="A12" s="1"/>
      <c r="B12" s="16">
        <f>ROW(B12) - ROW($B$7)</f>
        <v>5</v>
      </c>
      <c r="C12" s="22" t="s">
        <v>6</v>
      </c>
      <c r="D12" s="14" t="s">
        <v>27</v>
      </c>
      <c r="E12" s="14" t="s">
        <v>51</v>
      </c>
      <c r="F12" s="14" t="s">
        <v>75</v>
      </c>
      <c r="G12" s="14" t="s">
        <v>92</v>
      </c>
      <c r="H12" s="14" t="s">
        <v>109</v>
      </c>
      <c r="I12" s="50" t="s">
        <v>199</v>
      </c>
      <c r="J12" s="14" t="s">
        <v>128</v>
      </c>
      <c r="K12" s="14" t="s">
        <v>146</v>
      </c>
      <c r="L12" s="14">
        <v>1</v>
      </c>
      <c r="M12" s="14">
        <v>2</v>
      </c>
      <c r="N12" s="46" t="s">
        <v>174</v>
      </c>
      <c r="O12" s="21" t="s">
        <v>179</v>
      </c>
      <c r="P12" s="15">
        <f>O12*M12</f>
        <v>0.91320000000000001</v>
      </c>
      <c r="Q12" s="14"/>
    </row>
    <row r="13" spans="1:17" ht="24">
      <c r="A13" s="1"/>
      <c r="B13" s="17">
        <f t="shared" si="0"/>
        <v>6</v>
      </c>
      <c r="C13" s="23" t="s">
        <v>6</v>
      </c>
      <c r="D13" s="20" t="s">
        <v>28</v>
      </c>
      <c r="E13" s="20" t="s">
        <v>52</v>
      </c>
      <c r="F13" s="20" t="s">
        <v>71</v>
      </c>
      <c r="G13" s="20" t="s">
        <v>196</v>
      </c>
      <c r="H13" s="20" t="s">
        <v>197</v>
      </c>
      <c r="I13" s="50" t="s">
        <v>199</v>
      </c>
      <c r="J13" s="20" t="s">
        <v>129</v>
      </c>
      <c r="K13" s="20" t="s">
        <v>148</v>
      </c>
      <c r="L13" s="20">
        <v>1</v>
      </c>
      <c r="M13" s="14" t="s">
        <v>172</v>
      </c>
      <c r="N13" s="46" t="s">
        <v>174</v>
      </c>
      <c r="O13" s="21" t="s">
        <v>180</v>
      </c>
      <c r="P13" s="21">
        <f t="shared" ref="P13" si="3">O13*M13</f>
        <v>0.626</v>
      </c>
      <c r="Q13" s="20"/>
    </row>
    <row r="14" spans="1:17">
      <c r="A14" s="1"/>
      <c r="B14" s="16">
        <f>ROW(B14) - ROW($B$7)</f>
        <v>7</v>
      </c>
      <c r="C14" s="22" t="s">
        <v>8</v>
      </c>
      <c r="D14" s="14" t="s">
        <v>29</v>
      </c>
      <c r="E14" s="14" t="s">
        <v>53</v>
      </c>
      <c r="F14" s="14" t="s">
        <v>76</v>
      </c>
      <c r="G14" s="14" t="s">
        <v>93</v>
      </c>
      <c r="H14" s="14" t="s">
        <v>110</v>
      </c>
      <c r="I14" s="50" t="s">
        <v>199</v>
      </c>
      <c r="J14" s="14" t="s">
        <v>130</v>
      </c>
      <c r="K14" s="14" t="s">
        <v>166</v>
      </c>
      <c r="L14" s="14">
        <v>1</v>
      </c>
      <c r="M14" s="14" t="s">
        <v>171</v>
      </c>
      <c r="N14" s="46" t="s">
        <v>174</v>
      </c>
      <c r="O14" s="21" t="s">
        <v>181</v>
      </c>
      <c r="P14" s="15">
        <f>O14*M14</f>
        <v>0.59399999999999997</v>
      </c>
      <c r="Q14" s="14"/>
    </row>
    <row r="15" spans="1:17" ht="36">
      <c r="A15" s="1"/>
      <c r="B15" s="17">
        <f t="shared" si="0"/>
        <v>8</v>
      </c>
      <c r="C15" s="23" t="s">
        <v>9</v>
      </c>
      <c r="D15" s="20" t="s">
        <v>30</v>
      </c>
      <c r="E15" s="20" t="s">
        <v>54</v>
      </c>
      <c r="F15" s="20" t="s">
        <v>77</v>
      </c>
      <c r="G15" s="20" t="s">
        <v>94</v>
      </c>
      <c r="H15" s="20" t="s">
        <v>111</v>
      </c>
      <c r="I15" s="50" t="s">
        <v>199</v>
      </c>
      <c r="J15" s="20" t="s">
        <v>131</v>
      </c>
      <c r="K15" s="14" t="s">
        <v>166</v>
      </c>
      <c r="L15" s="20">
        <v>1</v>
      </c>
      <c r="M15" s="14" t="s">
        <v>172</v>
      </c>
      <c r="N15" s="48" t="s">
        <v>174</v>
      </c>
      <c r="O15" s="21" t="s">
        <v>182</v>
      </c>
      <c r="P15" s="21">
        <f t="shared" ref="P15" si="4">O15*M15</f>
        <v>0.55800000000000005</v>
      </c>
      <c r="Q15" s="20"/>
    </row>
    <row r="16" spans="1:17" ht="24">
      <c r="A16" s="1"/>
      <c r="B16" s="16">
        <f>ROW(B16) - ROW($B$7)</f>
        <v>9</v>
      </c>
      <c r="C16" s="22" t="s">
        <v>10</v>
      </c>
      <c r="D16" s="14" t="s">
        <v>31</v>
      </c>
      <c r="E16" s="14" t="s">
        <v>55</v>
      </c>
      <c r="F16" s="14" t="s">
        <v>198</v>
      </c>
      <c r="G16" s="14">
        <v>1715721</v>
      </c>
      <c r="H16" s="14" t="s">
        <v>112</v>
      </c>
      <c r="I16" s="50" t="s">
        <v>199</v>
      </c>
      <c r="J16" s="14" t="s">
        <v>132</v>
      </c>
      <c r="K16" s="14" t="s">
        <v>166</v>
      </c>
      <c r="L16" s="14">
        <v>1</v>
      </c>
      <c r="M16" s="14">
        <v>2</v>
      </c>
      <c r="N16" s="46" t="s">
        <v>174</v>
      </c>
      <c r="O16" s="21" t="s">
        <v>183</v>
      </c>
      <c r="P16" s="15">
        <f>O16*M16</f>
        <v>0.71179999999999999</v>
      </c>
      <c r="Q16" s="14"/>
    </row>
    <row r="17" spans="1:17" ht="48">
      <c r="A17" s="1"/>
      <c r="B17" s="17">
        <f t="shared" si="0"/>
        <v>10</v>
      </c>
      <c r="C17" s="23" t="s">
        <v>11</v>
      </c>
      <c r="D17" s="20" t="s">
        <v>32</v>
      </c>
      <c r="E17" s="20" t="s">
        <v>56</v>
      </c>
      <c r="F17" s="14" t="s">
        <v>198</v>
      </c>
      <c r="G17" s="20" t="s">
        <v>78</v>
      </c>
      <c r="H17" s="20" t="s">
        <v>113</v>
      </c>
      <c r="I17" s="50" t="s">
        <v>199</v>
      </c>
      <c r="J17" s="20" t="s">
        <v>133</v>
      </c>
      <c r="K17" s="14" t="s">
        <v>166</v>
      </c>
      <c r="L17" s="20">
        <v>1</v>
      </c>
      <c r="M17" s="14" t="s">
        <v>170</v>
      </c>
      <c r="N17" s="48" t="s">
        <v>174</v>
      </c>
      <c r="O17" s="21" t="s">
        <v>184</v>
      </c>
      <c r="P17" s="21">
        <f t="shared" ref="P17" si="5">O17*M17</f>
        <v>0.67500000000000004</v>
      </c>
      <c r="Q17" s="20"/>
    </row>
    <row r="18" spans="1:17" ht="48">
      <c r="A18" s="1"/>
      <c r="B18" s="16">
        <f>ROW(B18) - ROW($B$7)</f>
        <v>11</v>
      </c>
      <c r="C18" s="22" t="s">
        <v>12</v>
      </c>
      <c r="D18" s="14" t="s">
        <v>33</v>
      </c>
      <c r="E18" s="14" t="s">
        <v>57</v>
      </c>
      <c r="F18" s="14" t="s">
        <v>198</v>
      </c>
      <c r="G18" s="14" t="s">
        <v>79</v>
      </c>
      <c r="H18" s="14" t="s">
        <v>114</v>
      </c>
      <c r="I18" s="50" t="s">
        <v>199</v>
      </c>
      <c r="J18" s="14" t="s">
        <v>134</v>
      </c>
      <c r="K18" s="14" t="s">
        <v>166</v>
      </c>
      <c r="L18" s="14">
        <v>1</v>
      </c>
      <c r="M18" s="14" t="s">
        <v>171</v>
      </c>
      <c r="N18" s="48" t="s">
        <v>174</v>
      </c>
      <c r="O18" s="21" t="s">
        <v>185</v>
      </c>
      <c r="P18" s="15">
        <f>O18*M18</f>
        <v>0.48</v>
      </c>
      <c r="Q18" s="14"/>
    </row>
    <row r="19" spans="1:17" ht="48">
      <c r="A19" s="1"/>
      <c r="B19" s="17">
        <f t="shared" si="0"/>
        <v>12</v>
      </c>
      <c r="C19" s="23" t="s">
        <v>13</v>
      </c>
      <c r="D19" s="20" t="s">
        <v>34</v>
      </c>
      <c r="E19" s="20" t="s">
        <v>58</v>
      </c>
      <c r="F19" s="14" t="s">
        <v>198</v>
      </c>
      <c r="G19" s="20" t="s">
        <v>80</v>
      </c>
      <c r="H19" s="20" t="s">
        <v>115</v>
      </c>
      <c r="I19" s="50" t="s">
        <v>199</v>
      </c>
      <c r="J19" s="20" t="s">
        <v>135</v>
      </c>
      <c r="K19" s="14" t="s">
        <v>166</v>
      </c>
      <c r="L19" s="20">
        <v>1</v>
      </c>
      <c r="M19" s="14" t="s">
        <v>173</v>
      </c>
      <c r="N19" s="48" t="s">
        <v>174</v>
      </c>
      <c r="O19" s="21" t="s">
        <v>186</v>
      </c>
      <c r="P19" s="21">
        <f t="shared" ref="P19" si="6">O19*M19</f>
        <v>0.71499999999999997</v>
      </c>
      <c r="Q19" s="20"/>
    </row>
    <row r="20" spans="1:17" ht="24">
      <c r="A20" s="1"/>
      <c r="B20" s="16">
        <f>ROW(B20) - ROW($B$7)</f>
        <v>13</v>
      </c>
      <c r="C20" s="22" t="s">
        <v>14</v>
      </c>
      <c r="D20" s="14" t="s">
        <v>35</v>
      </c>
      <c r="E20" s="14" t="s">
        <v>59</v>
      </c>
      <c r="F20" s="14" t="s">
        <v>198</v>
      </c>
      <c r="G20" s="14" t="s">
        <v>95</v>
      </c>
      <c r="H20" s="14" t="s">
        <v>116</v>
      </c>
      <c r="I20" s="50" t="s">
        <v>199</v>
      </c>
      <c r="J20" s="14" t="s">
        <v>136</v>
      </c>
      <c r="K20" s="14" t="s">
        <v>149</v>
      </c>
      <c r="L20" s="14">
        <v>1</v>
      </c>
      <c r="M20" s="14" t="s">
        <v>170</v>
      </c>
      <c r="N20" s="48" t="s">
        <v>174</v>
      </c>
      <c r="O20" s="21" t="s">
        <v>187</v>
      </c>
      <c r="P20" s="15">
        <f>O20*M20</f>
        <v>0.54100000000000004</v>
      </c>
      <c r="Q20" s="14"/>
    </row>
    <row r="21" spans="1:17" ht="48">
      <c r="A21" s="1"/>
      <c r="B21" s="17">
        <f t="shared" si="0"/>
        <v>14</v>
      </c>
      <c r="C21" s="23" t="s">
        <v>15</v>
      </c>
      <c r="D21" s="20" t="s">
        <v>36</v>
      </c>
      <c r="E21" s="20" t="s">
        <v>60</v>
      </c>
      <c r="F21" s="20" t="s">
        <v>81</v>
      </c>
      <c r="G21" s="20" t="s">
        <v>96</v>
      </c>
      <c r="H21" s="20" t="s">
        <v>117</v>
      </c>
      <c r="I21" s="50" t="s">
        <v>199</v>
      </c>
      <c r="J21" s="20" t="s">
        <v>137</v>
      </c>
      <c r="K21" s="20" t="s">
        <v>166</v>
      </c>
      <c r="L21" s="20">
        <v>1</v>
      </c>
      <c r="M21" s="14" t="s">
        <v>172</v>
      </c>
      <c r="N21" s="48" t="s">
        <v>174</v>
      </c>
      <c r="O21" s="21" t="s">
        <v>188</v>
      </c>
      <c r="P21" s="21">
        <f t="shared" ref="P21" si="7">O21*M21</f>
        <v>0.50600000000000001</v>
      </c>
      <c r="Q21" s="20"/>
    </row>
    <row r="22" spans="1:17" ht="25.5">
      <c r="A22" s="1"/>
      <c r="B22" s="16">
        <f>ROW(B22) - ROW($B$7)</f>
        <v>15</v>
      </c>
      <c r="C22" s="22" t="s">
        <v>16</v>
      </c>
      <c r="D22" s="47" t="s">
        <v>37</v>
      </c>
      <c r="E22" s="47" t="s">
        <v>61</v>
      </c>
      <c r="F22" s="47" t="s">
        <v>198</v>
      </c>
      <c r="G22" s="47" t="s">
        <v>82</v>
      </c>
      <c r="H22" s="47" t="s">
        <v>166</v>
      </c>
      <c r="I22" s="51" t="s">
        <v>199</v>
      </c>
      <c r="J22" s="47" t="s">
        <v>166</v>
      </c>
      <c r="K22" s="47" t="s">
        <v>166</v>
      </c>
      <c r="L22" s="47">
        <v>2</v>
      </c>
      <c r="M22" s="47">
        <v>6</v>
      </c>
      <c r="N22" s="47" t="s">
        <v>166</v>
      </c>
      <c r="O22" s="47" t="s">
        <v>166</v>
      </c>
      <c r="P22" s="47" t="s">
        <v>166</v>
      </c>
      <c r="Q22" s="45" t="s">
        <v>167</v>
      </c>
    </row>
    <row r="23" spans="1:17">
      <c r="A23" s="1"/>
      <c r="B23" s="17">
        <f t="shared" si="0"/>
        <v>16</v>
      </c>
      <c r="C23" s="23" t="s">
        <v>17</v>
      </c>
      <c r="D23" s="20" t="s">
        <v>38</v>
      </c>
      <c r="E23" s="20" t="s">
        <v>62</v>
      </c>
      <c r="F23" s="20" t="s">
        <v>83</v>
      </c>
      <c r="G23" s="20" t="s">
        <v>97</v>
      </c>
      <c r="H23" s="20" t="s">
        <v>118</v>
      </c>
      <c r="I23" s="50" t="s">
        <v>199</v>
      </c>
      <c r="J23" s="20" t="s">
        <v>168</v>
      </c>
      <c r="K23" s="20" t="s">
        <v>166</v>
      </c>
      <c r="L23" s="20">
        <v>1</v>
      </c>
      <c r="M23" s="14" t="s">
        <v>170</v>
      </c>
      <c r="N23" s="48" t="s">
        <v>174</v>
      </c>
      <c r="O23" s="21" t="s">
        <v>189</v>
      </c>
      <c r="P23" s="21">
        <f t="shared" ref="P23" si="8">O23*M23</f>
        <v>1.1870000000000001</v>
      </c>
      <c r="Q23" s="20"/>
    </row>
    <row r="24" spans="1:17">
      <c r="A24" s="1"/>
      <c r="B24" s="16">
        <f>ROW(B24) - ROW($B$7)</f>
        <v>17</v>
      </c>
      <c r="C24" s="22" t="s">
        <v>18</v>
      </c>
      <c r="D24" s="14" t="s">
        <v>39</v>
      </c>
      <c r="E24" s="14" t="s">
        <v>63</v>
      </c>
      <c r="F24" s="14" t="s">
        <v>84</v>
      </c>
      <c r="G24" s="14" t="s">
        <v>98</v>
      </c>
      <c r="H24" s="14" t="s">
        <v>105</v>
      </c>
      <c r="I24" s="50" t="s">
        <v>199</v>
      </c>
      <c r="J24" s="14" t="s">
        <v>138</v>
      </c>
      <c r="K24" s="14" t="s">
        <v>150</v>
      </c>
      <c r="L24" s="14">
        <v>1</v>
      </c>
      <c r="M24" s="14" t="s">
        <v>169</v>
      </c>
      <c r="N24" s="48" t="s">
        <v>174</v>
      </c>
      <c r="O24" s="21" t="s">
        <v>190</v>
      </c>
      <c r="P24" s="15">
        <f>O24*M24</f>
        <v>0.18</v>
      </c>
      <c r="Q24" s="14"/>
    </row>
    <row r="25" spans="1:17">
      <c r="A25" s="1"/>
      <c r="B25" s="17">
        <f t="shared" si="0"/>
        <v>18</v>
      </c>
      <c r="C25" s="23" t="s">
        <v>18</v>
      </c>
      <c r="D25" s="20" t="s">
        <v>40</v>
      </c>
      <c r="E25" s="20" t="s">
        <v>64</v>
      </c>
      <c r="F25" s="20" t="s">
        <v>85</v>
      </c>
      <c r="G25" s="20" t="s">
        <v>99</v>
      </c>
      <c r="H25" s="20" t="s">
        <v>105</v>
      </c>
      <c r="I25" s="50" t="s">
        <v>199</v>
      </c>
      <c r="J25" s="20" t="s">
        <v>139</v>
      </c>
      <c r="K25" s="20" t="s">
        <v>151</v>
      </c>
      <c r="L25" s="20">
        <v>1</v>
      </c>
      <c r="M25" s="14" t="s">
        <v>173</v>
      </c>
      <c r="N25" s="48" t="s">
        <v>174</v>
      </c>
      <c r="O25" s="21" t="s">
        <v>191</v>
      </c>
      <c r="P25" s="21">
        <f t="shared" ref="P25" si="9">O25*M25</f>
        <v>0.44</v>
      </c>
      <c r="Q25" s="20"/>
    </row>
    <row r="26" spans="1:17" ht="24">
      <c r="A26" s="1"/>
      <c r="B26" s="16">
        <f>ROW(B26) - ROW($B$7)</f>
        <v>19</v>
      </c>
      <c r="C26" s="22" t="s">
        <v>19</v>
      </c>
      <c r="D26" s="14" t="s">
        <v>41</v>
      </c>
      <c r="E26" s="14" t="s">
        <v>65</v>
      </c>
      <c r="F26" s="14" t="s">
        <v>86</v>
      </c>
      <c r="G26" s="14" t="s">
        <v>100</v>
      </c>
      <c r="H26" s="14" t="s">
        <v>119</v>
      </c>
      <c r="I26" s="50" t="s">
        <v>199</v>
      </c>
      <c r="J26" s="14" t="s">
        <v>140</v>
      </c>
      <c r="K26" s="14" t="s">
        <v>152</v>
      </c>
      <c r="L26" s="14">
        <v>1</v>
      </c>
      <c r="M26" s="14" t="s">
        <v>169</v>
      </c>
      <c r="N26" s="48" t="s">
        <v>174</v>
      </c>
      <c r="O26" s="21" t="s">
        <v>192</v>
      </c>
      <c r="P26" s="15">
        <f>O26*M26</f>
        <v>0.31</v>
      </c>
      <c r="Q26" s="14"/>
    </row>
    <row r="27" spans="1:17" ht="36">
      <c r="A27" s="1"/>
      <c r="B27" s="17">
        <f t="shared" si="0"/>
        <v>20</v>
      </c>
      <c r="C27" s="23" t="s">
        <v>20</v>
      </c>
      <c r="D27" s="42" t="s">
        <v>42</v>
      </c>
      <c r="E27" s="42" t="s">
        <v>66</v>
      </c>
      <c r="F27" s="47" t="s">
        <v>198</v>
      </c>
      <c r="G27" s="42" t="s">
        <v>87</v>
      </c>
      <c r="H27" s="42" t="s">
        <v>120</v>
      </c>
      <c r="I27" s="50" t="s">
        <v>199</v>
      </c>
      <c r="J27" s="42" t="s">
        <v>141</v>
      </c>
      <c r="K27" s="42" t="s">
        <v>153</v>
      </c>
      <c r="L27" s="42">
        <v>1</v>
      </c>
      <c r="M27" s="43" t="s">
        <v>166</v>
      </c>
      <c r="N27" s="49" t="s">
        <v>166</v>
      </c>
      <c r="O27" s="44" t="s">
        <v>166</v>
      </c>
      <c r="P27" s="44" t="s">
        <v>166</v>
      </c>
      <c r="Q27" s="45" t="s">
        <v>167</v>
      </c>
    </row>
    <row r="28" spans="1:17">
      <c r="A28" s="1"/>
      <c r="B28" s="16">
        <f>ROW(B28) - ROW($B$7)</f>
        <v>21</v>
      </c>
      <c r="C28" s="23" t="s">
        <v>18</v>
      </c>
      <c r="D28" s="14" t="s">
        <v>43</v>
      </c>
      <c r="E28" s="14" t="s">
        <v>67</v>
      </c>
      <c r="F28" s="14" t="s">
        <v>86</v>
      </c>
      <c r="G28" s="14" t="s">
        <v>101</v>
      </c>
      <c r="H28" s="14" t="s">
        <v>105</v>
      </c>
      <c r="I28" s="50" t="s">
        <v>199</v>
      </c>
      <c r="J28" s="14" t="s">
        <v>142</v>
      </c>
      <c r="K28" s="14" t="s">
        <v>154</v>
      </c>
      <c r="L28" s="14">
        <v>1</v>
      </c>
      <c r="M28" s="14" t="s">
        <v>169</v>
      </c>
      <c r="N28" s="48" t="s">
        <v>174</v>
      </c>
      <c r="O28" s="21" t="s">
        <v>193</v>
      </c>
      <c r="P28" s="15">
        <f>O28*M28</f>
        <v>0.12</v>
      </c>
      <c r="Q28" s="14"/>
    </row>
    <row r="29" spans="1:17" ht="24">
      <c r="A29" s="1"/>
      <c r="B29" s="17">
        <f t="shared" si="0"/>
        <v>22</v>
      </c>
      <c r="C29" s="23" t="s">
        <v>21</v>
      </c>
      <c r="D29" s="20" t="s">
        <v>44</v>
      </c>
      <c r="E29" s="20" t="s">
        <v>68</v>
      </c>
      <c r="F29" s="20" t="s">
        <v>88</v>
      </c>
      <c r="G29" s="20" t="s">
        <v>102</v>
      </c>
      <c r="H29" s="20" t="s">
        <v>121</v>
      </c>
      <c r="I29" s="50" t="s">
        <v>199</v>
      </c>
      <c r="J29" s="20" t="s">
        <v>143</v>
      </c>
      <c r="K29" s="20" t="s">
        <v>166</v>
      </c>
      <c r="L29" s="20">
        <v>1</v>
      </c>
      <c r="M29" s="14" t="s">
        <v>170</v>
      </c>
      <c r="N29" s="48" t="s">
        <v>174</v>
      </c>
      <c r="O29" s="21" t="s">
        <v>194</v>
      </c>
      <c r="P29" s="21">
        <f t="shared" ref="P29" si="10">O29*M29</f>
        <v>0.57650000000000001</v>
      </c>
      <c r="Q29" s="20"/>
    </row>
    <row r="30" spans="1:17">
      <c r="A30" s="1"/>
      <c r="B30" s="16">
        <f>ROW(B30) - ROW($B$7)</f>
        <v>23</v>
      </c>
      <c r="C30" s="22" t="s">
        <v>21</v>
      </c>
      <c r="D30" s="14" t="s">
        <v>45</v>
      </c>
      <c r="E30" s="14" t="s">
        <v>69</v>
      </c>
      <c r="F30" s="14" t="s">
        <v>89</v>
      </c>
      <c r="G30" s="14" t="s">
        <v>103</v>
      </c>
      <c r="H30" s="14" t="s">
        <v>122</v>
      </c>
      <c r="I30" s="50" t="s">
        <v>199</v>
      </c>
      <c r="J30" s="14" t="s">
        <v>144</v>
      </c>
      <c r="K30" s="20" t="s">
        <v>166</v>
      </c>
      <c r="L30" s="14">
        <v>1</v>
      </c>
      <c r="M30" s="14" t="s">
        <v>171</v>
      </c>
      <c r="N30" s="48" t="s">
        <v>174</v>
      </c>
      <c r="O30" s="21" t="s">
        <v>195</v>
      </c>
      <c r="P30" s="15">
        <f>O30*M30</f>
        <v>0.30299999999999999</v>
      </c>
      <c r="Q30" s="14"/>
    </row>
    <row r="31" spans="1:17" ht="60.75" thickBot="1">
      <c r="A31" s="1"/>
      <c r="B31" s="16">
        <f>ROW(B31) - ROW($B$7)</f>
        <v>24</v>
      </c>
      <c r="C31" s="22" t="s">
        <v>200</v>
      </c>
      <c r="D31" s="14" t="s">
        <v>166</v>
      </c>
      <c r="E31" s="14" t="s">
        <v>202</v>
      </c>
      <c r="F31" s="14"/>
      <c r="G31" s="14" t="s">
        <v>203</v>
      </c>
      <c r="H31" s="14" t="s">
        <v>166</v>
      </c>
      <c r="I31" s="50"/>
      <c r="J31" s="14"/>
      <c r="K31" s="20"/>
      <c r="L31" s="14">
        <v>1</v>
      </c>
      <c r="M31" s="14">
        <v>1</v>
      </c>
      <c r="N31" s="48" t="s">
        <v>201</v>
      </c>
      <c r="O31" s="21">
        <v>8.9700000000000006</v>
      </c>
      <c r="P31" s="15">
        <f>O31*M31</f>
        <v>8.9700000000000006</v>
      </c>
      <c r="Q31" s="14"/>
    </row>
    <row r="32" spans="1:17" ht="19.5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3" t="s">
        <v>3</v>
      </c>
      <c r="N32" s="54"/>
      <c r="O32" s="54"/>
      <c r="P32" s="18">
        <f>SUM(P8:P31)</f>
        <v>20.787299999999998</v>
      </c>
      <c r="Q32" s="1"/>
    </row>
  </sheetData>
  <mergeCells count="2">
    <mergeCell ref="K1:Q1"/>
    <mergeCell ref="M32:O32"/>
  </mergeCells>
  <hyperlinks>
    <hyperlink ref="N30" r:id="rId1"/>
    <hyperlink ref="N29" r:id="rId2"/>
    <hyperlink ref="N28" r:id="rId3"/>
    <hyperlink ref="N27" r:id="rId4" display="LCSC"/>
    <hyperlink ref="N26" r:id="rId5"/>
    <hyperlink ref="N25" r:id="rId6"/>
    <hyperlink ref="N24" r:id="rId7"/>
    <hyperlink ref="N23" r:id="rId8"/>
    <hyperlink ref="N21" r:id="rId9"/>
    <hyperlink ref="N20" r:id="rId10"/>
    <hyperlink ref="N19" r:id="rId11"/>
    <hyperlink ref="N18" r:id="rId12"/>
    <hyperlink ref="N17" r:id="rId13"/>
    <hyperlink ref="N16" r:id="rId14"/>
    <hyperlink ref="N15" r:id="rId15"/>
    <hyperlink ref="N14" r:id="rId16"/>
    <hyperlink ref="N13" r:id="rId17"/>
    <hyperlink ref="N12" r:id="rId18"/>
    <hyperlink ref="N11" r:id="rId19"/>
    <hyperlink ref="N10" r:id="rId20"/>
    <hyperlink ref="N9" r:id="rId21"/>
    <hyperlink ref="N8" r:id="rId22"/>
    <hyperlink ref="N31" r:id="rId23"/>
  </hyperlinks>
  <pageMargins left="0.7" right="0.7" top="0.75" bottom="0.75" header="0.3" footer="0.3"/>
  <pageSetup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45"/>
  <sheetViews>
    <sheetView topLeftCell="A14" workbookViewId="0"/>
  </sheetViews>
  <sheetFormatPr defaultRowHeight="1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5.8554687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9.42578125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52"/>
      <c r="L1" s="52"/>
      <c r="M1" s="52"/>
      <c r="N1" s="52"/>
      <c r="O1" s="52"/>
      <c r="P1" s="52"/>
      <c r="Q1" s="52"/>
      <c r="R1" s="52"/>
    </row>
    <row r="2" spans="1:18" ht="32.25" thickBot="1">
      <c r="A2" s="1"/>
      <c r="B2" s="7"/>
      <c r="C2" s="13"/>
      <c r="D2" s="4" t="s">
        <v>0</v>
      </c>
      <c r="E2" s="4"/>
      <c r="F2" s="40" t="s">
        <v>156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157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22</v>
      </c>
      <c r="E7" s="12" t="s">
        <v>46</v>
      </c>
      <c r="F7" s="12" t="s">
        <v>70</v>
      </c>
      <c r="G7" s="12" t="s">
        <v>90</v>
      </c>
      <c r="H7" s="12" t="s">
        <v>104</v>
      </c>
      <c r="I7" s="12" t="s">
        <v>158</v>
      </c>
      <c r="J7" s="12" t="s">
        <v>123</v>
      </c>
      <c r="K7" s="12" t="s">
        <v>159</v>
      </c>
      <c r="L7" s="12" t="s">
        <v>155</v>
      </c>
      <c r="M7" s="12" t="s">
        <v>162</v>
      </c>
      <c r="N7" s="12" t="s">
        <v>163</v>
      </c>
      <c r="O7" s="12" t="s">
        <v>160</v>
      </c>
      <c r="P7" s="12" t="s">
        <v>164</v>
      </c>
      <c r="Q7" s="12" t="s">
        <v>165</v>
      </c>
      <c r="R7" s="12" t="s">
        <v>161</v>
      </c>
    </row>
    <row r="8" spans="1:18">
      <c r="A8" s="1"/>
      <c r="B8" s="16">
        <f>ROW(B8) - ROW($B$7)</f>
        <v>1</v>
      </c>
      <c r="C8" s="22" t="s">
        <v>6</v>
      </c>
      <c r="D8" s="14" t="s">
        <v>23</v>
      </c>
      <c r="E8" s="14" t="s">
        <v>47</v>
      </c>
      <c r="F8" s="14" t="s">
        <v>71</v>
      </c>
      <c r="G8" s="14" t="s">
        <v>91</v>
      </c>
      <c r="H8" s="14" t="s">
        <v>105</v>
      </c>
      <c r="I8" s="50" t="s">
        <v>199</v>
      </c>
      <c r="J8" s="14" t="s">
        <v>124</v>
      </c>
      <c r="K8" s="14" t="s">
        <v>145</v>
      </c>
      <c r="L8" s="14">
        <v>2</v>
      </c>
      <c r="M8" s="14">
        <f>L8*3</f>
        <v>6</v>
      </c>
      <c r="N8" s="14" t="s">
        <v>169</v>
      </c>
      <c r="O8" s="46" t="s">
        <v>174</v>
      </c>
      <c r="P8" s="21" t="s">
        <v>175</v>
      </c>
      <c r="Q8" s="15">
        <f>P8*N8</f>
        <v>0.43</v>
      </c>
      <c r="R8" s="14"/>
    </row>
    <row r="9" spans="1:18">
      <c r="A9" s="1"/>
      <c r="B9" s="17">
        <f t="shared" ref="B9:B29" si="0">ROW(B9) - ROW($B$7)</f>
        <v>2</v>
      </c>
      <c r="C9" s="23" t="s">
        <v>7</v>
      </c>
      <c r="D9" s="20" t="s">
        <v>24</v>
      </c>
      <c r="E9" s="20" t="s">
        <v>48</v>
      </c>
      <c r="F9" s="14" t="s">
        <v>198</v>
      </c>
      <c r="G9" s="20" t="s">
        <v>72</v>
      </c>
      <c r="H9" s="20" t="s">
        <v>106</v>
      </c>
      <c r="I9" s="50" t="s">
        <v>199</v>
      </c>
      <c r="J9" s="20" t="s">
        <v>125</v>
      </c>
      <c r="K9" s="20" t="s">
        <v>145</v>
      </c>
      <c r="L9" s="20">
        <v>1</v>
      </c>
      <c r="M9" s="14">
        <f t="shared" ref="M9:M31" si="1">L9*3</f>
        <v>3</v>
      </c>
      <c r="N9" s="14">
        <v>4</v>
      </c>
      <c r="O9" s="46" t="s">
        <v>174</v>
      </c>
      <c r="P9" s="21" t="s">
        <v>176</v>
      </c>
      <c r="Q9" s="21">
        <f t="shared" ref="Q9" si="2">P9*N9</f>
        <v>2.5695999999999999</v>
      </c>
      <c r="R9" s="20"/>
    </row>
    <row r="10" spans="1:18" ht="36">
      <c r="A10" s="1"/>
      <c r="B10" s="16">
        <f>ROW(B10) - ROW($B$7)</f>
        <v>3</v>
      </c>
      <c r="C10" s="22" t="s">
        <v>6</v>
      </c>
      <c r="D10" s="14" t="s">
        <v>25</v>
      </c>
      <c r="E10" s="14" t="s">
        <v>49</v>
      </c>
      <c r="F10" s="14" t="s">
        <v>198</v>
      </c>
      <c r="G10" s="14" t="s">
        <v>73</v>
      </c>
      <c r="H10" s="14" t="s">
        <v>107</v>
      </c>
      <c r="I10" s="50" t="s">
        <v>199</v>
      </c>
      <c r="J10" s="14" t="s">
        <v>126</v>
      </c>
      <c r="K10" s="14" t="s">
        <v>146</v>
      </c>
      <c r="L10" s="14">
        <v>1</v>
      </c>
      <c r="M10" s="14">
        <f t="shared" si="1"/>
        <v>3</v>
      </c>
      <c r="N10" s="14" t="s">
        <v>170</v>
      </c>
      <c r="O10" s="48" t="s">
        <v>174</v>
      </c>
      <c r="P10" s="21" t="s">
        <v>177</v>
      </c>
      <c r="Q10" s="15">
        <f>P10*N10</f>
        <v>0.8125</v>
      </c>
      <c r="R10" s="14"/>
    </row>
    <row r="11" spans="1:18" ht="36">
      <c r="A11" s="1"/>
      <c r="B11" s="17">
        <f t="shared" si="0"/>
        <v>4</v>
      </c>
      <c r="C11" s="23" t="s">
        <v>6</v>
      </c>
      <c r="D11" s="20" t="s">
        <v>26</v>
      </c>
      <c r="E11" s="20" t="s">
        <v>50</v>
      </c>
      <c r="F11" s="14" t="s">
        <v>198</v>
      </c>
      <c r="G11" s="20" t="s">
        <v>74</v>
      </c>
      <c r="H11" s="20" t="s">
        <v>108</v>
      </c>
      <c r="I11" s="50" t="s">
        <v>199</v>
      </c>
      <c r="J11" s="20" t="s">
        <v>127</v>
      </c>
      <c r="K11" s="20" t="s">
        <v>147</v>
      </c>
      <c r="L11" s="20">
        <v>1</v>
      </c>
      <c r="M11" s="14">
        <f t="shared" si="1"/>
        <v>3</v>
      </c>
      <c r="N11" s="14" t="s">
        <v>171</v>
      </c>
      <c r="O11" s="48" t="s">
        <v>174</v>
      </c>
      <c r="P11" s="21" t="s">
        <v>178</v>
      </c>
      <c r="Q11" s="21">
        <f t="shared" ref="Q11" si="3">P11*N11</f>
        <v>0.34099999999999997</v>
      </c>
      <c r="R11" s="20"/>
    </row>
    <row r="12" spans="1:18">
      <c r="A12" s="1"/>
      <c r="B12" s="16">
        <f>ROW(B12) - ROW($B$7)</f>
        <v>5</v>
      </c>
      <c r="C12" s="22" t="s">
        <v>6</v>
      </c>
      <c r="D12" s="14" t="s">
        <v>27</v>
      </c>
      <c r="E12" s="14" t="s">
        <v>51</v>
      </c>
      <c r="F12" s="14" t="s">
        <v>75</v>
      </c>
      <c r="G12" s="14" t="s">
        <v>92</v>
      </c>
      <c r="H12" s="14" t="s">
        <v>109</v>
      </c>
      <c r="I12" s="50" t="s">
        <v>199</v>
      </c>
      <c r="J12" s="14" t="s">
        <v>128</v>
      </c>
      <c r="K12" s="14" t="s">
        <v>146</v>
      </c>
      <c r="L12" s="14">
        <v>1</v>
      </c>
      <c r="M12" s="14">
        <f t="shared" si="1"/>
        <v>3</v>
      </c>
      <c r="N12" s="14">
        <v>4</v>
      </c>
      <c r="O12" s="46" t="s">
        <v>174</v>
      </c>
      <c r="P12" s="21" t="s">
        <v>179</v>
      </c>
      <c r="Q12" s="15">
        <f>P12*N12</f>
        <v>1.8264</v>
      </c>
      <c r="R12" s="14"/>
    </row>
    <row r="13" spans="1:18">
      <c r="A13" s="1"/>
      <c r="B13" s="17">
        <f t="shared" si="0"/>
        <v>6</v>
      </c>
      <c r="C13" s="23" t="s">
        <v>6</v>
      </c>
      <c r="D13" s="20" t="s">
        <v>28</v>
      </c>
      <c r="E13" s="20" t="s">
        <v>52</v>
      </c>
      <c r="F13" s="20" t="s">
        <v>71</v>
      </c>
      <c r="G13" s="20" t="s">
        <v>196</v>
      </c>
      <c r="H13" s="20" t="s">
        <v>197</v>
      </c>
      <c r="I13" s="50" t="s">
        <v>199</v>
      </c>
      <c r="J13" s="20" t="s">
        <v>129</v>
      </c>
      <c r="K13" s="20" t="s">
        <v>148</v>
      </c>
      <c r="L13" s="20">
        <v>1</v>
      </c>
      <c r="M13" s="14">
        <f t="shared" si="1"/>
        <v>3</v>
      </c>
      <c r="N13" s="14" t="s">
        <v>172</v>
      </c>
      <c r="O13" s="46" t="s">
        <v>174</v>
      </c>
      <c r="P13" s="21" t="s">
        <v>180</v>
      </c>
      <c r="Q13" s="21">
        <f t="shared" ref="Q13" si="4">P13*N13</f>
        <v>0.626</v>
      </c>
      <c r="R13" s="20"/>
    </row>
    <row r="14" spans="1:18">
      <c r="A14" s="1"/>
      <c r="B14" s="16">
        <f>ROW(B14) - ROW($B$7)</f>
        <v>7</v>
      </c>
      <c r="C14" s="22" t="s">
        <v>8</v>
      </c>
      <c r="D14" s="14" t="s">
        <v>29</v>
      </c>
      <c r="E14" s="14" t="s">
        <v>53</v>
      </c>
      <c r="F14" s="14" t="s">
        <v>76</v>
      </c>
      <c r="G14" s="14" t="s">
        <v>93</v>
      </c>
      <c r="H14" s="14" t="s">
        <v>110</v>
      </c>
      <c r="I14" s="50" t="s">
        <v>199</v>
      </c>
      <c r="J14" s="14" t="s">
        <v>130</v>
      </c>
      <c r="K14" s="14" t="s">
        <v>166</v>
      </c>
      <c r="L14" s="14">
        <v>1</v>
      </c>
      <c r="M14" s="14">
        <f t="shared" si="1"/>
        <v>3</v>
      </c>
      <c r="N14" s="14" t="s">
        <v>171</v>
      </c>
      <c r="O14" s="46" t="s">
        <v>174</v>
      </c>
      <c r="P14" s="21" t="s">
        <v>181</v>
      </c>
      <c r="Q14" s="15">
        <f>P14*N14</f>
        <v>0.59399999999999997</v>
      </c>
      <c r="R14" s="14"/>
    </row>
    <row r="15" spans="1:18" ht="36">
      <c r="A15" s="1"/>
      <c r="B15" s="17">
        <f t="shared" si="0"/>
        <v>8</v>
      </c>
      <c r="C15" s="23" t="s">
        <v>9</v>
      </c>
      <c r="D15" s="20" t="s">
        <v>30</v>
      </c>
      <c r="E15" s="20" t="s">
        <v>54</v>
      </c>
      <c r="F15" s="20" t="s">
        <v>77</v>
      </c>
      <c r="G15" s="20" t="s">
        <v>94</v>
      </c>
      <c r="H15" s="20" t="s">
        <v>111</v>
      </c>
      <c r="I15" s="50" t="s">
        <v>199</v>
      </c>
      <c r="J15" s="20" t="s">
        <v>131</v>
      </c>
      <c r="K15" s="14" t="s">
        <v>166</v>
      </c>
      <c r="L15" s="20">
        <v>1</v>
      </c>
      <c r="M15" s="14">
        <f t="shared" si="1"/>
        <v>3</v>
      </c>
      <c r="N15" s="14" t="s">
        <v>172</v>
      </c>
      <c r="O15" s="48" t="s">
        <v>174</v>
      </c>
      <c r="P15" s="21" t="s">
        <v>182</v>
      </c>
      <c r="Q15" s="21">
        <f t="shared" ref="Q15" si="5">P15*N15</f>
        <v>0.55800000000000005</v>
      </c>
      <c r="R15" s="20"/>
    </row>
    <row r="16" spans="1:18">
      <c r="A16" s="1"/>
      <c r="B16" s="16">
        <f>ROW(B16) - ROW($B$7)</f>
        <v>9</v>
      </c>
      <c r="C16" s="22" t="s">
        <v>10</v>
      </c>
      <c r="D16" s="14" t="s">
        <v>31</v>
      </c>
      <c r="E16" s="14" t="s">
        <v>55</v>
      </c>
      <c r="F16" s="14" t="s">
        <v>198</v>
      </c>
      <c r="G16" s="14">
        <v>1715721</v>
      </c>
      <c r="H16" s="14" t="s">
        <v>112</v>
      </c>
      <c r="I16" s="50" t="s">
        <v>199</v>
      </c>
      <c r="J16" s="14" t="s">
        <v>132</v>
      </c>
      <c r="K16" s="14" t="s">
        <v>166</v>
      </c>
      <c r="L16" s="14">
        <v>1</v>
      </c>
      <c r="M16" s="14">
        <f t="shared" si="1"/>
        <v>3</v>
      </c>
      <c r="N16" s="14">
        <v>4</v>
      </c>
      <c r="O16" s="46" t="s">
        <v>174</v>
      </c>
      <c r="P16" s="21" t="s">
        <v>183</v>
      </c>
      <c r="Q16" s="15">
        <f>P16*N16</f>
        <v>1.4236</v>
      </c>
      <c r="R16" s="14"/>
    </row>
    <row r="17" spans="1:18" ht="36">
      <c r="A17" s="1"/>
      <c r="B17" s="17">
        <f t="shared" si="0"/>
        <v>10</v>
      </c>
      <c r="C17" s="23" t="s">
        <v>11</v>
      </c>
      <c r="D17" s="20" t="s">
        <v>32</v>
      </c>
      <c r="E17" s="20" t="s">
        <v>56</v>
      </c>
      <c r="F17" s="14" t="s">
        <v>198</v>
      </c>
      <c r="G17" s="20" t="s">
        <v>78</v>
      </c>
      <c r="H17" s="20" t="s">
        <v>113</v>
      </c>
      <c r="I17" s="50" t="s">
        <v>199</v>
      </c>
      <c r="J17" s="20" t="s">
        <v>133</v>
      </c>
      <c r="K17" s="14" t="s">
        <v>166</v>
      </c>
      <c r="L17" s="20">
        <v>1</v>
      </c>
      <c r="M17" s="14">
        <f t="shared" si="1"/>
        <v>3</v>
      </c>
      <c r="N17" s="14" t="s">
        <v>170</v>
      </c>
      <c r="O17" s="48" t="s">
        <v>174</v>
      </c>
      <c r="P17" s="21" t="s">
        <v>184</v>
      </c>
      <c r="Q17" s="21">
        <f t="shared" ref="Q17" si="6">P17*N17</f>
        <v>0.67500000000000004</v>
      </c>
      <c r="R17" s="20"/>
    </row>
    <row r="18" spans="1:18" ht="36">
      <c r="A18" s="1"/>
      <c r="B18" s="16">
        <f>ROW(B18) - ROW($B$7)</f>
        <v>11</v>
      </c>
      <c r="C18" s="22" t="s">
        <v>12</v>
      </c>
      <c r="D18" s="14" t="s">
        <v>33</v>
      </c>
      <c r="E18" s="14" t="s">
        <v>57</v>
      </c>
      <c r="F18" s="14" t="s">
        <v>198</v>
      </c>
      <c r="G18" s="14" t="s">
        <v>79</v>
      </c>
      <c r="H18" s="14" t="s">
        <v>114</v>
      </c>
      <c r="I18" s="50" t="s">
        <v>199</v>
      </c>
      <c r="J18" s="14" t="s">
        <v>134</v>
      </c>
      <c r="K18" s="14" t="s">
        <v>166</v>
      </c>
      <c r="L18" s="14">
        <v>1</v>
      </c>
      <c r="M18" s="14">
        <f t="shared" si="1"/>
        <v>3</v>
      </c>
      <c r="N18" s="14" t="s">
        <v>171</v>
      </c>
      <c r="O18" s="48" t="s">
        <v>174</v>
      </c>
      <c r="P18" s="21" t="s">
        <v>185</v>
      </c>
      <c r="Q18" s="15">
        <f>P18*N18</f>
        <v>0.48</v>
      </c>
      <c r="R18" s="14"/>
    </row>
    <row r="19" spans="1:18" ht="36">
      <c r="A19" s="1"/>
      <c r="B19" s="17">
        <f t="shared" si="0"/>
        <v>12</v>
      </c>
      <c r="C19" s="23" t="s">
        <v>13</v>
      </c>
      <c r="D19" s="20" t="s">
        <v>34</v>
      </c>
      <c r="E19" s="20" t="s">
        <v>58</v>
      </c>
      <c r="F19" s="14" t="s">
        <v>198</v>
      </c>
      <c r="G19" s="20" t="s">
        <v>80</v>
      </c>
      <c r="H19" s="20" t="s">
        <v>115</v>
      </c>
      <c r="I19" s="50" t="s">
        <v>199</v>
      </c>
      <c r="J19" s="20" t="s">
        <v>135</v>
      </c>
      <c r="K19" s="14" t="s">
        <v>166</v>
      </c>
      <c r="L19" s="20">
        <v>1</v>
      </c>
      <c r="M19" s="14">
        <f t="shared" si="1"/>
        <v>3</v>
      </c>
      <c r="N19" s="14" t="s">
        <v>173</v>
      </c>
      <c r="O19" s="48" t="s">
        <v>174</v>
      </c>
      <c r="P19" s="21" t="s">
        <v>186</v>
      </c>
      <c r="Q19" s="21">
        <f t="shared" ref="Q19" si="7">P19*N19</f>
        <v>0.71499999999999997</v>
      </c>
      <c r="R19" s="20"/>
    </row>
    <row r="20" spans="1:18">
      <c r="A20" s="1"/>
      <c r="B20" s="16">
        <f>ROW(B20) - ROW($B$7)</f>
        <v>13</v>
      </c>
      <c r="C20" s="22" t="s">
        <v>14</v>
      </c>
      <c r="D20" s="14" t="s">
        <v>35</v>
      </c>
      <c r="E20" s="14" t="s">
        <v>59</v>
      </c>
      <c r="F20" s="14" t="s">
        <v>198</v>
      </c>
      <c r="G20" s="14" t="s">
        <v>95</v>
      </c>
      <c r="H20" s="14" t="s">
        <v>116</v>
      </c>
      <c r="I20" s="50" t="s">
        <v>199</v>
      </c>
      <c r="J20" s="14" t="s">
        <v>136</v>
      </c>
      <c r="K20" s="14" t="s">
        <v>149</v>
      </c>
      <c r="L20" s="14">
        <v>1</v>
      </c>
      <c r="M20" s="14">
        <f t="shared" si="1"/>
        <v>3</v>
      </c>
      <c r="N20" s="14" t="s">
        <v>170</v>
      </c>
      <c r="O20" s="48" t="s">
        <v>174</v>
      </c>
      <c r="P20" s="21" t="s">
        <v>187</v>
      </c>
      <c r="Q20" s="15">
        <f>P20*N20</f>
        <v>0.54100000000000004</v>
      </c>
      <c r="R20" s="14"/>
    </row>
    <row r="21" spans="1:18" ht="24">
      <c r="A21" s="1"/>
      <c r="B21" s="17">
        <f t="shared" si="0"/>
        <v>14</v>
      </c>
      <c r="C21" s="23" t="s">
        <v>15</v>
      </c>
      <c r="D21" s="20" t="s">
        <v>36</v>
      </c>
      <c r="E21" s="20" t="s">
        <v>60</v>
      </c>
      <c r="F21" s="20" t="s">
        <v>81</v>
      </c>
      <c r="G21" s="20" t="s">
        <v>96</v>
      </c>
      <c r="H21" s="20" t="s">
        <v>117</v>
      </c>
      <c r="I21" s="50" t="s">
        <v>199</v>
      </c>
      <c r="J21" s="20" t="s">
        <v>137</v>
      </c>
      <c r="K21" s="20" t="s">
        <v>166</v>
      </c>
      <c r="L21" s="20">
        <v>1</v>
      </c>
      <c r="M21" s="14">
        <f t="shared" si="1"/>
        <v>3</v>
      </c>
      <c r="N21" s="14" t="s">
        <v>172</v>
      </c>
      <c r="O21" s="48" t="s">
        <v>174</v>
      </c>
      <c r="P21" s="21" t="s">
        <v>188</v>
      </c>
      <c r="Q21" s="21">
        <f t="shared" ref="Q21" si="8">P21*N21</f>
        <v>0.50600000000000001</v>
      </c>
      <c r="R21" s="20"/>
    </row>
    <row r="22" spans="1:18">
      <c r="A22" s="1"/>
      <c r="B22" s="16">
        <f>ROW(B22) - ROW($B$7)</f>
        <v>15</v>
      </c>
      <c r="C22" s="22" t="s">
        <v>16</v>
      </c>
      <c r="D22" s="47" t="s">
        <v>37</v>
      </c>
      <c r="E22" s="47" t="s">
        <v>61</v>
      </c>
      <c r="F22" s="47" t="s">
        <v>198</v>
      </c>
      <c r="G22" s="47" t="s">
        <v>82</v>
      </c>
      <c r="H22" s="47" t="s">
        <v>166</v>
      </c>
      <c r="I22" s="51" t="s">
        <v>199</v>
      </c>
      <c r="J22" s="47" t="s">
        <v>166</v>
      </c>
      <c r="K22" s="47" t="s">
        <v>166</v>
      </c>
      <c r="L22" s="47">
        <v>2</v>
      </c>
      <c r="M22" s="47">
        <f t="shared" si="1"/>
        <v>6</v>
      </c>
      <c r="N22" s="47">
        <v>6</v>
      </c>
      <c r="O22" s="47" t="s">
        <v>166</v>
      </c>
      <c r="P22" s="47" t="s">
        <v>166</v>
      </c>
      <c r="Q22" s="47" t="s">
        <v>166</v>
      </c>
      <c r="R22" s="45" t="s">
        <v>167</v>
      </c>
    </row>
    <row r="23" spans="1:18">
      <c r="A23" s="1"/>
      <c r="B23" s="17">
        <f t="shared" si="0"/>
        <v>16</v>
      </c>
      <c r="C23" s="23" t="s">
        <v>17</v>
      </c>
      <c r="D23" s="20" t="s">
        <v>38</v>
      </c>
      <c r="E23" s="20" t="s">
        <v>62</v>
      </c>
      <c r="F23" s="20" t="s">
        <v>83</v>
      </c>
      <c r="G23" s="20" t="s">
        <v>97</v>
      </c>
      <c r="H23" s="20" t="s">
        <v>118</v>
      </c>
      <c r="I23" s="50" t="s">
        <v>199</v>
      </c>
      <c r="J23" s="20" t="s">
        <v>168</v>
      </c>
      <c r="K23" s="20" t="s">
        <v>166</v>
      </c>
      <c r="L23" s="20">
        <v>1</v>
      </c>
      <c r="M23" s="14">
        <f t="shared" si="1"/>
        <v>3</v>
      </c>
      <c r="N23" s="14" t="s">
        <v>170</v>
      </c>
      <c r="O23" s="48" t="s">
        <v>174</v>
      </c>
      <c r="P23" s="21" t="s">
        <v>189</v>
      </c>
      <c r="Q23" s="21">
        <f t="shared" ref="Q23" si="9">P23*N23</f>
        <v>1.1870000000000001</v>
      </c>
      <c r="R23" s="20"/>
    </row>
    <row r="24" spans="1:18">
      <c r="A24" s="1"/>
      <c r="B24" s="16">
        <f>ROW(B24) - ROW($B$7)</f>
        <v>17</v>
      </c>
      <c r="C24" s="22" t="s">
        <v>18</v>
      </c>
      <c r="D24" s="14" t="s">
        <v>39</v>
      </c>
      <c r="E24" s="14" t="s">
        <v>63</v>
      </c>
      <c r="F24" s="14" t="s">
        <v>84</v>
      </c>
      <c r="G24" s="14" t="s">
        <v>98</v>
      </c>
      <c r="H24" s="14" t="s">
        <v>105</v>
      </c>
      <c r="I24" s="50" t="s">
        <v>199</v>
      </c>
      <c r="J24" s="14" t="s">
        <v>138</v>
      </c>
      <c r="K24" s="14" t="s">
        <v>150</v>
      </c>
      <c r="L24" s="14">
        <v>1</v>
      </c>
      <c r="M24" s="14">
        <f t="shared" si="1"/>
        <v>3</v>
      </c>
      <c r="N24" s="14" t="s">
        <v>169</v>
      </c>
      <c r="O24" s="48" t="s">
        <v>174</v>
      </c>
      <c r="P24" s="21" t="s">
        <v>190</v>
      </c>
      <c r="Q24" s="15">
        <f>P24*N24</f>
        <v>0.18</v>
      </c>
      <c r="R24" s="14"/>
    </row>
    <row r="25" spans="1:18">
      <c r="A25" s="1"/>
      <c r="B25" s="17">
        <f t="shared" si="0"/>
        <v>18</v>
      </c>
      <c r="C25" s="23" t="s">
        <v>18</v>
      </c>
      <c r="D25" s="20" t="s">
        <v>40</v>
      </c>
      <c r="E25" s="20" t="s">
        <v>64</v>
      </c>
      <c r="F25" s="20" t="s">
        <v>85</v>
      </c>
      <c r="G25" s="20" t="s">
        <v>99</v>
      </c>
      <c r="H25" s="20" t="s">
        <v>105</v>
      </c>
      <c r="I25" s="50" t="s">
        <v>199</v>
      </c>
      <c r="J25" s="20" t="s">
        <v>139</v>
      </c>
      <c r="K25" s="20" t="s">
        <v>151</v>
      </c>
      <c r="L25" s="20">
        <v>1</v>
      </c>
      <c r="M25" s="14">
        <f t="shared" si="1"/>
        <v>3</v>
      </c>
      <c r="N25" s="14" t="s">
        <v>173</v>
      </c>
      <c r="O25" s="48" t="s">
        <v>174</v>
      </c>
      <c r="P25" s="21" t="s">
        <v>191</v>
      </c>
      <c r="Q25" s="21">
        <f t="shared" ref="Q25" si="10">P25*N25</f>
        <v>0.44</v>
      </c>
      <c r="R25" s="20"/>
    </row>
    <row r="26" spans="1:18">
      <c r="A26" s="1"/>
      <c r="B26" s="16">
        <f>ROW(B26) - ROW($B$7)</f>
        <v>19</v>
      </c>
      <c r="C26" s="22" t="s">
        <v>19</v>
      </c>
      <c r="D26" s="14" t="s">
        <v>41</v>
      </c>
      <c r="E26" s="14" t="s">
        <v>65</v>
      </c>
      <c r="F26" s="14" t="s">
        <v>86</v>
      </c>
      <c r="G26" s="14" t="s">
        <v>100</v>
      </c>
      <c r="H26" s="14" t="s">
        <v>119</v>
      </c>
      <c r="I26" s="50" t="s">
        <v>199</v>
      </c>
      <c r="J26" s="14" t="s">
        <v>140</v>
      </c>
      <c r="K26" s="14" t="s">
        <v>152</v>
      </c>
      <c r="L26" s="14">
        <v>1</v>
      </c>
      <c r="M26" s="14">
        <f t="shared" si="1"/>
        <v>3</v>
      </c>
      <c r="N26" s="14" t="s">
        <v>169</v>
      </c>
      <c r="O26" s="48" t="s">
        <v>174</v>
      </c>
      <c r="P26" s="21" t="s">
        <v>192</v>
      </c>
      <c r="Q26" s="15">
        <f>P26*N26</f>
        <v>0.31</v>
      </c>
      <c r="R26" s="14"/>
    </row>
    <row r="27" spans="1:18" ht="36">
      <c r="A27" s="1"/>
      <c r="B27" s="17">
        <f t="shared" si="0"/>
        <v>20</v>
      </c>
      <c r="C27" s="23" t="s">
        <v>20</v>
      </c>
      <c r="D27" s="42" t="s">
        <v>42</v>
      </c>
      <c r="E27" s="42" t="s">
        <v>66</v>
      </c>
      <c r="F27" s="47" t="s">
        <v>198</v>
      </c>
      <c r="G27" s="42" t="s">
        <v>87</v>
      </c>
      <c r="H27" s="42" t="s">
        <v>120</v>
      </c>
      <c r="I27" s="50" t="s">
        <v>199</v>
      </c>
      <c r="J27" s="42" t="s">
        <v>141</v>
      </c>
      <c r="K27" s="42" t="s">
        <v>153</v>
      </c>
      <c r="L27" s="42">
        <v>1</v>
      </c>
      <c r="M27" s="43">
        <f t="shared" si="1"/>
        <v>3</v>
      </c>
      <c r="N27" s="43" t="s">
        <v>166</v>
      </c>
      <c r="O27" s="49" t="s">
        <v>166</v>
      </c>
      <c r="P27" s="44" t="s">
        <v>166</v>
      </c>
      <c r="Q27" s="44" t="s">
        <v>166</v>
      </c>
      <c r="R27" s="45" t="s">
        <v>167</v>
      </c>
    </row>
    <row r="28" spans="1:18">
      <c r="A28" s="1"/>
      <c r="B28" s="16">
        <f>ROW(B28) - ROW($B$7)</f>
        <v>21</v>
      </c>
      <c r="C28" s="23" t="s">
        <v>18</v>
      </c>
      <c r="D28" s="14" t="s">
        <v>43</v>
      </c>
      <c r="E28" s="14" t="s">
        <v>67</v>
      </c>
      <c r="F28" s="14" t="s">
        <v>86</v>
      </c>
      <c r="G28" s="14" t="s">
        <v>101</v>
      </c>
      <c r="H28" s="14" t="s">
        <v>105</v>
      </c>
      <c r="I28" s="50" t="s">
        <v>199</v>
      </c>
      <c r="J28" s="14" t="s">
        <v>142</v>
      </c>
      <c r="K28" s="14" t="s">
        <v>154</v>
      </c>
      <c r="L28" s="14">
        <v>1</v>
      </c>
      <c r="M28" s="14">
        <f t="shared" si="1"/>
        <v>3</v>
      </c>
      <c r="N28" s="14" t="s">
        <v>169</v>
      </c>
      <c r="O28" s="48" t="s">
        <v>174</v>
      </c>
      <c r="P28" s="21" t="s">
        <v>193</v>
      </c>
      <c r="Q28" s="15">
        <f>P28*N28</f>
        <v>0.12</v>
      </c>
      <c r="R28" s="14"/>
    </row>
    <row r="29" spans="1:18">
      <c r="A29" s="1"/>
      <c r="B29" s="17">
        <f t="shared" si="0"/>
        <v>22</v>
      </c>
      <c r="C29" s="23" t="s">
        <v>21</v>
      </c>
      <c r="D29" s="20" t="s">
        <v>44</v>
      </c>
      <c r="E29" s="20" t="s">
        <v>68</v>
      </c>
      <c r="F29" s="20" t="s">
        <v>88</v>
      </c>
      <c r="G29" s="20" t="s">
        <v>102</v>
      </c>
      <c r="H29" s="20" t="s">
        <v>121</v>
      </c>
      <c r="I29" s="50" t="s">
        <v>199</v>
      </c>
      <c r="J29" s="20" t="s">
        <v>143</v>
      </c>
      <c r="K29" s="20" t="s">
        <v>166</v>
      </c>
      <c r="L29" s="20">
        <v>1</v>
      </c>
      <c r="M29" s="14">
        <f t="shared" si="1"/>
        <v>3</v>
      </c>
      <c r="N29" s="14" t="s">
        <v>170</v>
      </c>
      <c r="O29" s="48" t="s">
        <v>174</v>
      </c>
      <c r="P29" s="21" t="s">
        <v>194</v>
      </c>
      <c r="Q29" s="21">
        <f t="shared" ref="Q29" si="11">P29*N29</f>
        <v>0.57650000000000001</v>
      </c>
      <c r="R29" s="20"/>
    </row>
    <row r="30" spans="1:18">
      <c r="A30" s="1"/>
      <c r="B30" s="16">
        <f>ROW(B30) - ROW($B$7)</f>
        <v>23</v>
      </c>
      <c r="C30" s="22" t="s">
        <v>21</v>
      </c>
      <c r="D30" s="14" t="s">
        <v>45</v>
      </c>
      <c r="E30" s="14" t="s">
        <v>69</v>
      </c>
      <c r="F30" s="14" t="s">
        <v>89</v>
      </c>
      <c r="G30" s="14" t="s">
        <v>103</v>
      </c>
      <c r="H30" s="14" t="s">
        <v>122</v>
      </c>
      <c r="I30" s="50" t="s">
        <v>199</v>
      </c>
      <c r="J30" s="14" t="s">
        <v>144</v>
      </c>
      <c r="K30" s="20" t="s">
        <v>166</v>
      </c>
      <c r="L30" s="14">
        <v>1</v>
      </c>
      <c r="M30" s="14">
        <f t="shared" si="1"/>
        <v>3</v>
      </c>
      <c r="N30" s="14" t="s">
        <v>171</v>
      </c>
      <c r="O30" s="48" t="s">
        <v>174</v>
      </c>
      <c r="P30" s="21" t="s">
        <v>195</v>
      </c>
      <c r="Q30" s="15">
        <f>P30*N30</f>
        <v>0.30299999999999999</v>
      </c>
      <c r="R30" s="14"/>
    </row>
    <row r="31" spans="1:18" ht="60.75" thickBot="1">
      <c r="A31" s="1"/>
      <c r="B31" s="16">
        <f>ROW(B31) - ROW($B$7)</f>
        <v>24</v>
      </c>
      <c r="C31" s="22" t="s">
        <v>200</v>
      </c>
      <c r="D31" s="14" t="s">
        <v>166</v>
      </c>
      <c r="E31" s="14" t="s">
        <v>202</v>
      </c>
      <c r="F31" s="14"/>
      <c r="G31" s="14" t="s">
        <v>203</v>
      </c>
      <c r="H31" s="14" t="s">
        <v>166</v>
      </c>
      <c r="I31" s="50"/>
      <c r="J31" s="14"/>
      <c r="K31" s="20"/>
      <c r="L31" s="14">
        <v>1</v>
      </c>
      <c r="M31" s="14">
        <f t="shared" si="1"/>
        <v>3</v>
      </c>
      <c r="N31" s="14">
        <v>3</v>
      </c>
      <c r="O31" s="48" t="s">
        <v>201</v>
      </c>
      <c r="P31" s="21">
        <v>8.9700000000000006</v>
      </c>
      <c r="Q31" s="15">
        <f>P31*M31</f>
        <v>26.910000000000004</v>
      </c>
      <c r="R31" s="15" t="s">
        <v>166</v>
      </c>
    </row>
    <row r="32" spans="1:18" ht="19.5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53" t="s">
        <v>3</v>
      </c>
      <c r="O32" s="54"/>
      <c r="P32" s="54"/>
      <c r="Q32" s="18">
        <f>SUM(Q8:Q31)</f>
        <v>42.124600000000001</v>
      </c>
      <c r="R32" s="1"/>
    </row>
    <row r="33" spans="2:17" ht="19.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53" t="s">
        <v>4</v>
      </c>
      <c r="O33" s="54"/>
      <c r="P33" s="54"/>
      <c r="Q33" s="19">
        <f>Q32/3</f>
        <v>14.041533333333334</v>
      </c>
    </row>
    <row r="45" spans="2:17">
      <c r="M45" s="38"/>
    </row>
  </sheetData>
  <mergeCells count="3">
    <mergeCell ref="K1:R1"/>
    <mergeCell ref="N32:P32"/>
    <mergeCell ref="N33:P33"/>
  </mergeCells>
  <hyperlinks>
    <hyperlink ref="O8" r:id="rId1"/>
    <hyperlink ref="O9" r:id="rId2"/>
    <hyperlink ref="O10" r:id="rId3"/>
    <hyperlink ref="O11" r:id="rId4"/>
    <hyperlink ref="O12" r:id="rId5"/>
    <hyperlink ref="O13" r:id="rId6"/>
    <hyperlink ref="O14" r:id="rId7"/>
    <hyperlink ref="O15" r:id="rId8"/>
    <hyperlink ref="O16" r:id="rId9"/>
    <hyperlink ref="O17" r:id="rId10"/>
    <hyperlink ref="O18" r:id="rId11"/>
    <hyperlink ref="O19" r:id="rId12"/>
    <hyperlink ref="O20" r:id="rId13"/>
    <hyperlink ref="O21" r:id="rId14"/>
    <hyperlink ref="O23" r:id="rId15"/>
    <hyperlink ref="O24" r:id="rId16"/>
    <hyperlink ref="O25" r:id="rId17"/>
    <hyperlink ref="O26" r:id="rId18"/>
    <hyperlink ref="O27" r:id="rId19" display="LCSC"/>
    <hyperlink ref="O28" r:id="rId20"/>
    <hyperlink ref="O29" r:id="rId21"/>
    <hyperlink ref="O30" r:id="rId22"/>
    <hyperlink ref="O31" r:id="rId23"/>
  </hyperlinks>
  <pageMargins left="0.7" right="0.7" top="0.75" bottom="0.75" header="0.3" footer="0.3"/>
  <pageSetup paperSize="9"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Boards</vt:lpstr>
      <vt:lpstr>3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2024-11-11T08:22:30Z</dcterms:modified>
</cp:coreProperties>
</file>