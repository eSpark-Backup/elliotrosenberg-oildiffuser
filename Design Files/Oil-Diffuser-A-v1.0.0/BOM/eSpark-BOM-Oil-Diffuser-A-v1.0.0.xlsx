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1 Board" sheetId="1" r:id="rId1"/>
    <sheet name="3 Boards" sheetId="2" r:id="rId2"/>
  </sheets>
  <calcPr calcId="162913"/>
</workbook>
</file>

<file path=xl/calcChain.xml><?xml version="1.0" encoding="utf-8"?>
<calcChain xmlns="http://schemas.openxmlformats.org/spreadsheetml/2006/main">
  <c r="Q49" i="2" l="1"/>
  <c r="P49" i="1"/>
  <c r="Q45" i="2"/>
  <c r="Q46" i="2"/>
  <c r="Q47" i="2"/>
  <c r="Q48" i="2"/>
  <c r="M45" i="2"/>
  <c r="M46" i="2"/>
  <c r="M47" i="2"/>
  <c r="M48" i="2"/>
  <c r="B45" i="2"/>
  <c r="B46" i="2"/>
  <c r="B47" i="2"/>
  <c r="B48" i="2"/>
  <c r="P45" i="1"/>
  <c r="P46" i="1"/>
  <c r="P47" i="1"/>
  <c r="P48" i="1"/>
  <c r="B45" i="1"/>
  <c r="B46" i="1"/>
  <c r="B47" i="1"/>
  <c r="B44" i="1"/>
  <c r="B48" i="1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8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P9" i="1"/>
  <c r="P10" i="1"/>
  <c r="P11" i="1"/>
  <c r="P12" i="1"/>
  <c r="P13" i="1"/>
  <c r="P14" i="1"/>
  <c r="P15" i="1"/>
  <c r="P16" i="1"/>
  <c r="P17" i="1"/>
  <c r="P18" i="1"/>
  <c r="P19" i="1"/>
  <c r="P20" i="1"/>
  <c r="P22" i="1"/>
  <c r="P23" i="1"/>
  <c r="P24" i="1"/>
  <c r="P25" i="1"/>
  <c r="P26" i="1"/>
  <c r="P27" i="1"/>
  <c r="P28" i="1"/>
  <c r="P29" i="1"/>
  <c r="P30" i="1"/>
  <c r="P31" i="1"/>
  <c r="P33" i="1"/>
  <c r="P34" i="1"/>
  <c r="P35" i="1"/>
  <c r="P36" i="1"/>
  <c r="P37" i="1"/>
  <c r="P38" i="1"/>
  <c r="P39" i="1"/>
  <c r="P40" i="1"/>
  <c r="P41" i="1"/>
  <c r="P42" i="1"/>
  <c r="P43" i="1"/>
  <c r="P44" i="1"/>
  <c r="P8" i="1"/>
  <c r="Q50" i="2" l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 l="1"/>
  <c r="B8" i="1"/>
</calcChain>
</file>

<file path=xl/sharedStrings.xml><?xml version="1.0" encoding="utf-8"?>
<sst xmlns="http://schemas.openxmlformats.org/spreadsheetml/2006/main" count="1008" uniqueCount="309">
  <si>
    <t>Component list</t>
  </si>
  <si>
    <t>Project:</t>
  </si>
  <si>
    <t>#</t>
  </si>
  <si>
    <t xml:space="preserve">Total Component Cost </t>
  </si>
  <si>
    <t>Single Board Cost</t>
  </si>
  <si>
    <t>Item Type</t>
  </si>
  <si>
    <t>Capacitors</t>
  </si>
  <si>
    <t>Capacitor</t>
  </si>
  <si>
    <t>Diode</t>
  </si>
  <si>
    <t>Fuse</t>
  </si>
  <si>
    <t>Terminal Blocks</t>
  </si>
  <si>
    <t>Wire To Board Connector</t>
  </si>
  <si>
    <t>DC Jack</t>
  </si>
  <si>
    <t>Right Angle JST</t>
  </si>
  <si>
    <t>Inductor</t>
  </si>
  <si>
    <t>LED</t>
  </si>
  <si>
    <t>Mosfet</t>
  </si>
  <si>
    <t>BJTs</t>
  </si>
  <si>
    <t>MOSFETs</t>
  </si>
  <si>
    <t>Resistor</t>
  </si>
  <si>
    <t>Resistors</t>
  </si>
  <si>
    <t>Potentiometer</t>
  </si>
  <si>
    <t>IC</t>
  </si>
  <si>
    <t>Designator</t>
  </si>
  <si>
    <t>C1</t>
  </si>
  <si>
    <t>C2, C9</t>
  </si>
  <si>
    <t>C3</t>
  </si>
  <si>
    <t>C4</t>
  </si>
  <si>
    <t>C5</t>
  </si>
  <si>
    <t>C6</t>
  </si>
  <si>
    <t>C7</t>
  </si>
  <si>
    <t>C8</t>
  </si>
  <si>
    <t>D1, D2</t>
  </si>
  <si>
    <t>F1</t>
  </si>
  <si>
    <t>J1</t>
  </si>
  <si>
    <t>J2</t>
  </si>
  <si>
    <t>J3</t>
  </si>
  <si>
    <t>J4</t>
  </si>
  <si>
    <t>L1</t>
  </si>
  <si>
    <t>L2</t>
  </si>
  <si>
    <t>LED1</t>
  </si>
  <si>
    <t>Q1</t>
  </si>
  <si>
    <t>Q2, Q4</t>
  </si>
  <si>
    <t>Q3</t>
  </si>
  <si>
    <t>Q5</t>
  </si>
  <si>
    <t>R1</t>
  </si>
  <si>
    <t>R2</t>
  </si>
  <si>
    <t>R3</t>
  </si>
  <si>
    <t>R4, R10</t>
  </si>
  <si>
    <t>R5</t>
  </si>
  <si>
    <t>R6</t>
  </si>
  <si>
    <t>R7</t>
  </si>
  <si>
    <t>R8</t>
  </si>
  <si>
    <t>R9</t>
  </si>
  <si>
    <t>R11</t>
  </si>
  <si>
    <t>R12, R14</t>
  </si>
  <si>
    <t>R13</t>
  </si>
  <si>
    <t>U1</t>
  </si>
  <si>
    <t>U2</t>
  </si>
  <si>
    <t>U3</t>
  </si>
  <si>
    <t>U4</t>
  </si>
  <si>
    <t>Description</t>
  </si>
  <si>
    <t>470uF 35V 850mA@100KHz 80mΩ@100KHz ±20% SMD,D8xL10.5mm Aluminum Electrolytic Capacitors - SMD ROHS</t>
  </si>
  <si>
    <t>1uF 25V X5R ±20% 0603 Multilayer Ceramic Capacitors MLCC - SMD/SMT ROHS</t>
  </si>
  <si>
    <t>220uF 35V 600mA@100KHz 160mΩ@100KHz ±20% SMD,D6.3xL7.7mm Aluminum Electrolytic Capacitors - SMD ROHS</t>
  </si>
  <si>
    <t>CAP CER 2.2UF 25V X5R 0603</t>
  </si>
  <si>
    <t>5% 630V 47nF Plugin,P=5.08mm Film Capacitors ROHS</t>
  </si>
  <si>
    <t>CAP CER 100UF 16V X5R 1210</t>
  </si>
  <si>
    <t>CAP CER 10000PF 50V X8R 0603</t>
  </si>
  <si>
    <t>±5% 50V 220pF NP0 Plugin,P=5.08mm Multilayer Ceramic Capacitors MLCC - Leaded ROHS</t>
  </si>
  <si>
    <t>SCHOTTKY DIODE SMB 100V 5A</t>
  </si>
  <si>
    <t>33V 1.5A 40A 3A 1812 Resettable Fuses ROHS</t>
  </si>
  <si>
    <t>TERM BLK 2P SIDE ENT 5.08MM PCB</t>
  </si>
  <si>
    <t>1x2P 2P XH 1 Tin 2.5mm 2 -25℃~+85℃ Brass 3A Straight Plugin,P=2.5mm Wire To Board Connector ROHS</t>
  </si>
  <si>
    <t>DC Power Receptacle 260℃ Brass -20℃~+70℃ 2.5mm 6mm 2.5A 24V Plugin AC/DC Power Connectors ROHS</t>
  </si>
  <si>
    <t>1x2P 1 2mm Male pin 2 -25℃~+85℃ 2A Surface Mount SMD,P=2mm Wire To Board / Wire To Wire Connector ROHS</t>
  </si>
  <si>
    <t>2A 68uH ±20% 2.5A SMD,6.6x7.1mm Power Inductors ROHS</t>
  </si>
  <si>
    <t>600mA 220uH EI-core Inductor ±20% Plugin Power Inductors ROHS</t>
  </si>
  <si>
    <t>White light 0603 Light Emitting Diodes (LED) ROHS</t>
  </si>
  <si>
    <t>30V 5.8A 32mΩ@10V,5.8A 1.4W 1.4V@250uA N Channel SOT-23 MOSFETs ROHS</t>
  </si>
  <si>
    <t>TRANS NPN 40V 1A SOT23-3</t>
  </si>
  <si>
    <t>100V 15A 96W 114mΩ@10V,3A 3.5V@250uA 1 N-Channel TO-252 MOSFETs ROHS</t>
  </si>
  <si>
    <t>30V 7A 19mΩ 1.9W 1.1V@250uA P Channel SOT-23-3L MOSFETs ROHS</t>
  </si>
  <si>
    <t>RES 1K OHM 1% 1/8W 0805</t>
  </si>
  <si>
    <t>RES SMD 1M OHM 1% 1/10W 0603</t>
  </si>
  <si>
    <t>Metal Film Resistors 1kΩ 250mW ±200ppm/℃ ±1% Plugin,D2.3xL6.5mm Through Hole Resistors ROHS</t>
  </si>
  <si>
    <t>10% 5kΩ Plugin Potentiometers, Variable Resistors ROHS</t>
  </si>
  <si>
    <t>RES 100K OHM 1% 1/8W 0805</t>
  </si>
  <si>
    <t>RES 10 OHM 1% 3/4W 2010</t>
  </si>
  <si>
    <t>RES 1K OHM 1% 1/2W 1206</t>
  </si>
  <si>
    <t>Metal Film Resistors 1.5kΩ 250mW ±100ppm/℃ ±1% Plugin,D2.3xL6.5mm Through Hole Resistors ROHS</t>
  </si>
  <si>
    <t>RES SMD 10K OHM 0.1% 1/10W 0603</t>
  </si>
  <si>
    <t>RES SMD 47OHM 0.1W 0603</t>
  </si>
  <si>
    <t>RES 1.5K OHM 1% 1/10W 0603</t>
  </si>
  <si>
    <t>RES SMD 270 OHM 0.1% 1/10W 0603</t>
  </si>
  <si>
    <t>Step-down type Fixed 12V 2A 4.5V~40V ESOP-8 DC-DC Converters ROHS</t>
  </si>
  <si>
    <t>IC BINARY COUNTER 14-BIT 16SOIC</t>
  </si>
  <si>
    <t>IC OSC SINGLE TIMER 2.7MHZ 8SOIC</t>
  </si>
  <si>
    <t>IC GATE DRVR IGBT/MOSFET SOT23-6</t>
  </si>
  <si>
    <t>Footprint</t>
  </si>
  <si>
    <t>189RV0027</t>
  </si>
  <si>
    <t>Cap-0603</t>
  </si>
  <si>
    <t>189RV0019</t>
  </si>
  <si>
    <t>CAP-0603</t>
  </si>
  <si>
    <t>CFA2J473JC4PK5136A00</t>
  </si>
  <si>
    <t>Cap-1210</t>
  </si>
  <si>
    <t>CD1H221JC9BECHE100</t>
  </si>
  <si>
    <t>SMB_</t>
  </si>
  <si>
    <t>Fuse-1812_</t>
  </si>
  <si>
    <t>XH-2A-L</t>
  </si>
  <si>
    <t>DC-0360-2.5</t>
  </si>
  <si>
    <t>WAFER-PH2.0-2PWB</t>
  </si>
  <si>
    <t>PSPMAA0605H-680M-IGF</t>
  </si>
  <si>
    <t>PK0810-221MB</t>
  </si>
  <si>
    <t>LED-0603</t>
  </si>
  <si>
    <t>sot-23</t>
  </si>
  <si>
    <t>SOT-23</t>
  </si>
  <si>
    <t>TO-252-2L</t>
  </si>
  <si>
    <t>SOT-23-3L_</t>
  </si>
  <si>
    <t>RES-0805</t>
  </si>
  <si>
    <t>Res-0603</t>
  </si>
  <si>
    <t>Plugin,D2.3xL6.5mm</t>
  </si>
  <si>
    <t>3296W-1-502</t>
  </si>
  <si>
    <t>RES-2010</t>
  </si>
  <si>
    <t>Res-1206</t>
  </si>
  <si>
    <t>ESOP-8</t>
  </si>
  <si>
    <t>16-SOIC (0.154", 3.90mm Width)</t>
  </si>
  <si>
    <t>SOIC-8(0.154", 3.90mm Width)</t>
  </si>
  <si>
    <t>SOT-23-6</t>
  </si>
  <si>
    <t>Manufacturer Part Number</t>
  </si>
  <si>
    <t>TCC0603X5R105M250CT</t>
  </si>
  <si>
    <t>CC0603KRX5R8BB225</t>
  </si>
  <si>
    <t>EMK325ABJ107MM-P</t>
  </si>
  <si>
    <t>SS510B</t>
  </si>
  <si>
    <t>BSMD1812-150-33V</t>
  </si>
  <si>
    <t>NCD0603W3</t>
  </si>
  <si>
    <t>AO3400A</t>
  </si>
  <si>
    <t>ZXTN2040FTA</t>
  </si>
  <si>
    <t>STD12N10L-VB</t>
  </si>
  <si>
    <t>G7P03L</t>
  </si>
  <si>
    <t>RC0805FR-071KL</t>
  </si>
  <si>
    <t>CRCW06031M00FKEA</t>
  </si>
  <si>
    <t>MF1/4W-1KΩ±1%T52</t>
  </si>
  <si>
    <t>RC0805FR-07100KL</t>
  </si>
  <si>
    <t>RC2010FK-0710RL</t>
  </si>
  <si>
    <t>RC1206FR-7W1KL</t>
  </si>
  <si>
    <t>MF1/4W-1.5KΩ±1% T</t>
  </si>
  <si>
    <t>RT0603BRD0710KL</t>
  </si>
  <si>
    <t>RC0603FR-0747RL</t>
  </si>
  <si>
    <t>RC0603FR-071K5L</t>
  </si>
  <si>
    <t>RT0603BRE07270RL</t>
  </si>
  <si>
    <t>XL1509E-12</t>
  </si>
  <si>
    <t>CD4060BM96</t>
  </si>
  <si>
    <t>TS555IDTTR</t>
  </si>
  <si>
    <t>ZXGD3002E6TA</t>
  </si>
  <si>
    <t>Manufacturer</t>
  </si>
  <si>
    <t>KNSCHA</t>
  </si>
  <si>
    <t>CCTC</t>
  </si>
  <si>
    <t>Yageo</t>
  </si>
  <si>
    <t>Dersonic</t>
  </si>
  <si>
    <t>Taiyo Yuden</t>
  </si>
  <si>
    <t>MDD</t>
  </si>
  <si>
    <t>BHFUSE</t>
  </si>
  <si>
    <t>Phoenix Contact</t>
  </si>
  <si>
    <t>HCTL</t>
  </si>
  <si>
    <t>XKB Connectivity</t>
  </si>
  <si>
    <t>XUNPU</t>
  </si>
  <si>
    <t>PROD Tech</t>
  </si>
  <si>
    <t>SXN</t>
  </si>
  <si>
    <t>Foshan NationStar Optoelectronics</t>
  </si>
  <si>
    <t>BORN</t>
  </si>
  <si>
    <t>Diodes Zetex</t>
  </si>
  <si>
    <t>VBsemi</t>
  </si>
  <si>
    <t>GoFord</t>
  </si>
  <si>
    <t>Vishay</t>
  </si>
  <si>
    <t>Huaxing Mechanical-Elec</t>
  </si>
  <si>
    <t>BOCHEN</t>
  </si>
  <si>
    <t>CCO</t>
  </si>
  <si>
    <t>UMW</t>
  </si>
  <si>
    <t>Texas Instruments</t>
  </si>
  <si>
    <t>STMicroelectronics</t>
  </si>
  <si>
    <t>LCSC Part Number</t>
  </si>
  <si>
    <t>C7471889</t>
  </si>
  <si>
    <t>C6266891</t>
  </si>
  <si>
    <t>C7471881</t>
  </si>
  <si>
    <t>C309478</t>
  </si>
  <si>
    <t>C20754717</t>
  </si>
  <si>
    <t>C90143</t>
  </si>
  <si>
    <t>C710687</t>
  </si>
  <si>
    <t>C2761745</t>
  </si>
  <si>
    <t>C3011128</t>
  </si>
  <si>
    <t>C883154</t>
  </si>
  <si>
    <t>C480516</t>
  </si>
  <si>
    <t>C2908597</t>
  </si>
  <si>
    <t>C319122</t>
  </si>
  <si>
    <t>C3029440</t>
  </si>
  <si>
    <t>C2983094</t>
  </si>
  <si>
    <t>C400317</t>
  </si>
  <si>
    <t>C158100</t>
  </si>
  <si>
    <t>C344010</t>
  </si>
  <si>
    <t>C460141</t>
  </si>
  <si>
    <t>C5179533</t>
  </si>
  <si>
    <t>C840062</t>
  </si>
  <si>
    <t>C95781</t>
  </si>
  <si>
    <t>C844922</t>
  </si>
  <si>
    <t>C713997</t>
  </si>
  <si>
    <t>C118907</t>
  </si>
  <si>
    <t>C96346</t>
  </si>
  <si>
    <t>C137067</t>
  </si>
  <si>
    <t>C859155</t>
  </si>
  <si>
    <t>C119328</t>
  </si>
  <si>
    <t>C95204</t>
  </si>
  <si>
    <t>C114623</t>
  </si>
  <si>
    <t>C114668</t>
  </si>
  <si>
    <t>C705836</t>
  </si>
  <si>
    <t>C5185875</t>
  </si>
  <si>
    <t>C32699</t>
  </si>
  <si>
    <t>C880084</t>
  </si>
  <si>
    <t>C156276</t>
  </si>
  <si>
    <t>470uF</t>
  </si>
  <si>
    <t>1uF</t>
  </si>
  <si>
    <t>220uF</t>
  </si>
  <si>
    <t>2.2uF</t>
  </si>
  <si>
    <t>47nF</t>
  </si>
  <si>
    <t>100uF</t>
  </si>
  <si>
    <t>10nF</t>
  </si>
  <si>
    <t>220pF</t>
  </si>
  <si>
    <t>68uH</t>
  </si>
  <si>
    <t>220uH</t>
  </si>
  <si>
    <t>1K</t>
  </si>
  <si>
    <t>1M</t>
  </si>
  <si>
    <t>DNP</t>
  </si>
  <si>
    <t>100K</t>
  </si>
  <si>
    <t>10R</t>
  </si>
  <si>
    <t>1.5K</t>
  </si>
  <si>
    <t>10K</t>
  </si>
  <si>
    <t>47R</t>
  </si>
  <si>
    <t>270R</t>
  </si>
  <si>
    <t>Quantity</t>
  </si>
  <si>
    <t>Bill of Materials for Project [Oil-Diffuser-A-v1.0.0.]</t>
  </si>
  <si>
    <t>Oil-Diffuser-A-v1.0.0.</t>
  </si>
  <si>
    <t>Alternate Part Number</t>
  </si>
  <si>
    <t>Value</t>
  </si>
  <si>
    <t>MOQ (1 Boards)</t>
  </si>
  <si>
    <t>Links</t>
  </si>
  <si>
    <t>Unit Cost (1 Boards)</t>
  </si>
  <si>
    <t>Total Cost (1 Boards)</t>
  </si>
  <si>
    <t>Remarks</t>
  </si>
  <si>
    <t>Custom</t>
  </si>
  <si>
    <t>-</t>
  </si>
  <si>
    <t>DO NOT PLACE</t>
  </si>
  <si>
    <t>GCM188R91H103KA37D</t>
  </si>
  <si>
    <t>Murata</t>
  </si>
  <si>
    <t>Quantity (3 Boads)</t>
  </si>
  <si>
    <t>MOQ (3 Boards)</t>
  </si>
  <si>
    <t>Unit Cost (3 Boards)</t>
  </si>
  <si>
    <t>Total Cost (3 Boards)</t>
  </si>
  <si>
    <t>LCSC</t>
  </si>
  <si>
    <t>5</t>
  </si>
  <si>
    <t>100</t>
  </si>
  <si>
    <t>50</t>
  </si>
  <si>
    <t>20</t>
  </si>
  <si>
    <t>10</t>
  </si>
  <si>
    <t>0.1516</t>
  </si>
  <si>
    <t>0.0039</t>
  </si>
  <si>
    <t>0.0880</t>
  </si>
  <si>
    <t>0.0171</t>
  </si>
  <si>
    <t>0.0263</t>
  </si>
  <si>
    <t>0.4461</t>
  </si>
  <si>
    <t>0.0313</t>
  </si>
  <si>
    <t>0.0326</t>
  </si>
  <si>
    <t>0.0594</t>
  </si>
  <si>
    <t>0.0687</t>
  </si>
  <si>
    <t>0.3559</t>
  </si>
  <si>
    <t>0.0143</t>
  </si>
  <si>
    <t>0.1350</t>
  </si>
  <si>
    <t>0.1463</t>
  </si>
  <si>
    <t>0.0850</t>
  </si>
  <si>
    <t>0.0249</t>
  </si>
  <si>
    <t>0.0453</t>
  </si>
  <si>
    <t>0.0496</t>
  </si>
  <si>
    <t>0.2876</t>
  </si>
  <si>
    <t>0.0897</t>
  </si>
  <si>
    <t>0.0018</t>
  </si>
  <si>
    <t>0.0034</t>
  </si>
  <si>
    <t>0.0062</t>
  </si>
  <si>
    <t>0.0021</t>
  </si>
  <si>
    <t>0.0430</t>
  </si>
  <si>
    <t>0.0112</t>
  </si>
  <si>
    <t>0.0095</t>
  </si>
  <si>
    <t>0.0207</t>
  </si>
  <si>
    <t>0.0011</t>
  </si>
  <si>
    <t>0.0252</t>
  </si>
  <si>
    <t>0.1487</t>
  </si>
  <si>
    <t>0.2551</t>
  </si>
  <si>
    <t>0.4769</t>
  </si>
  <si>
    <t>0.4771</t>
  </si>
  <si>
    <t>-----</t>
  </si>
  <si>
    <t>------</t>
  </si>
  <si>
    <t>Peripheral</t>
  </si>
  <si>
    <t>Aliexpress</t>
  </si>
  <si>
    <t>AC 110v 240V DC 24V 2A Power Supply wall charger Adapter US Charger</t>
  </si>
  <si>
    <t>24v 2 Amp US plug</t>
  </si>
  <si>
    <t>AC 250V 6A On/Off Prewired Standard Toggle Switch With Wire Cable KNS-1 SPST Contacts Switch Electrical Equipment</t>
  </si>
  <si>
    <t>Toggle Switch</t>
  </si>
  <si>
    <t>24V Sleeve XH2.54</t>
  </si>
  <si>
    <t>1Pcs Gdstime DC 24V 75mm x 30mm Centrifugal Blower Fan 7530 7.5cm Dual Ball Turbo Radiator Fan 75mm Purifier Heatsink Fan</t>
  </si>
  <si>
    <t>16mm 1.7MHz</t>
  </si>
  <si>
    <t>D16mm 1.7MHz Ultrasonic Mist Maker Atomizing Transducer Ceramic Humidifier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</si>
</sst>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>
      <alignment vertical="center"/>
    </xf>
  </cellStyleXfs>
  <cellXfs count="6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0" borderId="11" xfId="1" applyFont="1" applyBorder="1" applyAlignment="1">
      <alignment horizontal="center" vertical="center" wrapText="1"/>
    </xf>
    <xf numFmtId="0" fontId="1" fillId="2" borderId="0" xfId="0" applyFont="1" applyFill="1" applyAlignment="1"/>
    <xf numFmtId="0" fontId="9" fillId="4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22" fillId="0" borderId="11" xfId="1" applyFont="1" applyBorder="1" applyAlignment="1">
      <alignment horizontal="center" vertical="center"/>
    </xf>
    <xf numFmtId="165" fontId="15" fillId="2" borderId="7" xfId="0" applyNumberFormat="1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8" xfId="0" applyFont="1" applyFill="1" applyBorder="1" applyAlignment="1">
      <alignment horizontal="center" vertical="center" wrapText="1"/>
    </xf>
    <xf numFmtId="0" fontId="23" fillId="0" borderId="11" xfId="1" applyFont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0" fontId="19" fillId="2" borderId="8" xfId="0" quotePrefix="1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wrapText="1"/>
    </xf>
    <xf numFmtId="0" fontId="24" fillId="0" borderId="11" xfId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dc-power-connectors_xkb-connection-dc-0360-2-5_C319122.html" TargetMode="External"/><Relationship Id="rId18" Type="http://schemas.openxmlformats.org/officeDocument/2006/relationships/hyperlink" Target="https://www.lcsc.com/product-detail/mosfets_born-ao3400a_C344010.html" TargetMode="External"/><Relationship Id="rId26" Type="http://schemas.openxmlformats.org/officeDocument/2006/relationships/hyperlink" Target="https://www.lcsc.com/product-detail/chip-resistor-surface-mount_yageo-rc0805fr-07100kl_C96346.html" TargetMode="External"/><Relationship Id="rId39" Type="http://schemas.openxmlformats.org/officeDocument/2006/relationships/hyperlink" Target="https://vi.aliexpress.com/item/1005005545871582.html?spm=a2g0o.productlist.main.21.47eb54dcwaR8hG&amp;algo_pvid=e7bb4438-9834-43bd-a4ab-3a9207c87a85&amp;algo_exp_id=e7bb4438-9834-43bd-a4ab-3a9207c87a85-10&amp;pdp_npi=4%40dis%21USD%211.37%211.15%21%21%211.37%211.15%21" TargetMode="External"/><Relationship Id="rId21" Type="http://schemas.openxmlformats.org/officeDocument/2006/relationships/hyperlink" Target="https://www.lcsc.com/product-detail/mosfets_goford-g7p03l_C840062.html" TargetMode="External"/><Relationship Id="rId34" Type="http://schemas.openxmlformats.org/officeDocument/2006/relationships/hyperlink" Target="https://www.lcsc.com/product-detail/dc-dc-converters_umw-youtai-semiconductor-co-ltd-xl1509e-12_C5185875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murata-electronics-gcm188r91h103ka37d_C710687.html" TargetMode="External"/><Relationship Id="rId2" Type="http://schemas.openxmlformats.org/officeDocument/2006/relationships/hyperlink" Target="https://www.lcsc.com/product-detail/multilayer-ceramic-capacitors-mlcc-smd-smt_cctc-tcc0603x5r105m250ct_C6266891.html" TargetMode="External"/><Relationship Id="rId16" Type="http://schemas.openxmlformats.org/officeDocument/2006/relationships/hyperlink" Target="https://www.lcsc.com/product-detail/power-inductors_sxn-shun-xiang-nuo-elec-pk0810-221mb_C400317.html" TargetMode="External"/><Relationship Id="rId20" Type="http://schemas.openxmlformats.org/officeDocument/2006/relationships/hyperlink" Target="https://www.lcsc.com/product-detail/mosfets_vbsemi-elec-std12n10l-vb_C5179533.html" TargetMode="External"/><Relationship Id="rId29" Type="http://schemas.openxmlformats.org/officeDocument/2006/relationships/hyperlink" Target="https://www.lcsc.com/product-detail/through-hole-resistors_cco-chian-chia-elec-mf1-4w-1-5k-1-t_C119328.html" TargetMode="External"/><Relationship Id="rId41" Type="http://schemas.openxmlformats.org/officeDocument/2006/relationships/hyperlink" Target="https://vi.aliexpress.com/item/32848489683.html?spm=a2g0o.productlist.main.1.38734cdaoCMJkc&amp;algo_pvid=bc97d007-de81-4e13-9bea-299f13403e53&amp;algo_exp_id=bc97d007-de81-4e13-9bea-299f13403e53-0&amp;pdp_npi=4%40dis%21USD%213.05%212.17%21%21%213.05%212.17%21%40212a" TargetMode="External"/><Relationship Id="rId1" Type="http://schemas.openxmlformats.org/officeDocument/2006/relationships/hyperlink" Target="https://www.lcsc.com/product-detail/aluminum-electrolytic-capacitors-smd_knscha-189rv0027_C7471889.html" TargetMode="External"/><Relationship Id="rId6" Type="http://schemas.openxmlformats.org/officeDocument/2006/relationships/hyperlink" Target="https://www.lcsc.com/product-detail/multilayer-ceramic-capacitors-mlcc-smd-smt_taiyo-yuden-emk325abj107mm-p_C90143.html" TargetMode="External"/><Relationship Id="rId11" Type="http://schemas.openxmlformats.org/officeDocument/2006/relationships/hyperlink" Target="https://www.lcsc.com/product-detail/screw-terminal-blocks_phoenix-contact-1715721_C480516.html" TargetMode="External"/><Relationship Id="rId24" Type="http://schemas.openxmlformats.org/officeDocument/2006/relationships/hyperlink" Target="https://www.lcsc.com/product-detail/through-hole-resistors_huaxing-mechanical-elec-mf1-4w-1k-1-t52_C713997.html" TargetMode="External"/><Relationship Id="rId32" Type="http://schemas.openxmlformats.org/officeDocument/2006/relationships/hyperlink" Target="https://www.lcsc.com/product-detail/chip-resistor-surface-mount_yageo-rc0603fr-071k5l_C114668.html" TargetMode="External"/><Relationship Id="rId37" Type="http://schemas.openxmlformats.org/officeDocument/2006/relationships/hyperlink" Target="https://www.lcsc.com/product-detail/gate-drivers_diodes-incorporated-zxgd3002e6ta_C156276.html" TargetMode="External"/><Relationship Id="rId40" Type="http://schemas.openxmlformats.org/officeDocument/2006/relationships/hyperlink" Target="https://vi.aliexpress.com/item/1005002663971820.html?spm=a2g0o.productlist.main.3.33097fQY7fQYGh&amp;algo_pvid=31429c27-b8ca-4c84-a6da-82968f76658b&amp;algo_exp_id=31429c27-b8ca-4c84-a6da-82968f76658b-1&amp;pdp_npi=4%40dis%21USD%2126.11%215.58%21%21%2126.11%215.58%21" TargetMode="External"/><Relationship Id="rId5" Type="http://schemas.openxmlformats.org/officeDocument/2006/relationships/hyperlink" Target="https://www.lcsc.com/product-detail/film-capacitors_dersonic-cfa2j473jc4pk5136a00_C20754717.html" TargetMode="External"/><Relationship Id="rId15" Type="http://schemas.openxmlformats.org/officeDocument/2006/relationships/hyperlink" Target="https://www.lcsc.com/product-detail/power-inductors_prod-tech-pspmaa0605h-680m-igf_C2983094.html" TargetMode="External"/><Relationship Id="rId23" Type="http://schemas.openxmlformats.org/officeDocument/2006/relationships/hyperlink" Target="https://www.lcsc.com/product-detail/chip-resistor-surface-mount_vishay-intertech-crcw06031m00fkea_C844922.html" TargetMode="External"/><Relationship Id="rId28" Type="http://schemas.openxmlformats.org/officeDocument/2006/relationships/hyperlink" Target="https://www.lcsc.com/product-detail/chip-resistor-surface-mount_yageo-rc1206fr-7w1kl_C859155.html" TargetMode="External"/><Relationship Id="rId36" Type="http://schemas.openxmlformats.org/officeDocument/2006/relationships/hyperlink" Target="https://www.lcsc.com/product-detail/timers-counters_stmicroelectronics-ts555idttr_C880084.html" TargetMode="External"/><Relationship Id="rId10" Type="http://schemas.openxmlformats.org/officeDocument/2006/relationships/hyperlink" Target="https://www.lcsc.com/product-detail/resettable-fuses_bhfuse-bsmd1812-150-33v_C883154.html" TargetMode="External"/><Relationship Id="rId19" Type="http://schemas.openxmlformats.org/officeDocument/2006/relationships/hyperlink" Target="https://www.lcsc.com/product-detail/bipolar-bjt_diodes-incorporated-zxtn2040fta_C460141.html" TargetMode="External"/><Relationship Id="rId31" Type="http://schemas.openxmlformats.org/officeDocument/2006/relationships/hyperlink" Target="https://www.lcsc.com/product-detail/chip-resistor-surface-mount_yageo-rc0603fr-0747rl_C114623.html" TargetMode="External"/><Relationship Id="rId4" Type="http://schemas.openxmlformats.org/officeDocument/2006/relationships/hyperlink" Target="https://www.lcsc.com/product-detail/multilayer-ceramic-capacitors-mlcc-smd-smt_yageo-cc0603krx5r8bb225_C309478.html" TargetMode="External"/><Relationship Id="rId9" Type="http://schemas.openxmlformats.org/officeDocument/2006/relationships/hyperlink" Target="https://www.lcsc.com/product-detail/schottky-diodes_juxing-ss510b_C3011128.html" TargetMode="External"/><Relationship Id="rId14" Type="http://schemas.openxmlformats.org/officeDocument/2006/relationships/hyperlink" Target="https://www.lcsc.com/product-detail/wire-to-board-connector_xunpu-wafer-ph2-0-2pwb_C3029440.html" TargetMode="External"/><Relationship Id="rId22" Type="http://schemas.openxmlformats.org/officeDocument/2006/relationships/hyperlink" Target="https://www.lcsc.com/product-detail/chip-resistor-surface-mount_yageo-rc0805fr-071kl_C95781.html" TargetMode="External"/><Relationship Id="rId27" Type="http://schemas.openxmlformats.org/officeDocument/2006/relationships/hyperlink" Target="https://www.lcsc.com/product-detail/chip-resistor-surface-mount_yageo-rc2010fk-0710rl_C137067.html" TargetMode="External"/><Relationship Id="rId30" Type="http://schemas.openxmlformats.org/officeDocument/2006/relationships/hyperlink" Target="https://www.lcsc.com/product-detail/chip-resistor-surface-mount_yageo-rt0603brd0710kl_C95204.html" TargetMode="External"/><Relationship Id="rId35" Type="http://schemas.openxmlformats.org/officeDocument/2006/relationships/hyperlink" Target="https://www.lcsc.com/product-detail/counters-dividers_texas-instruments-cd4060bm96_C32699.html" TargetMode="External"/><Relationship Id="rId8" Type="http://schemas.openxmlformats.org/officeDocument/2006/relationships/hyperlink" Target="https://www.lcsc.com/product-detail/multilayer-ceramic-capacitors-mlcc-leaded_dersonic-cd1h221jc9beche100_C2761745.html" TargetMode="External"/><Relationship Id="rId3" Type="http://schemas.openxmlformats.org/officeDocument/2006/relationships/hyperlink" Target="https://www.lcsc.com/product-detail/aluminum-electrolytic-capacitors-smd_knscha-189rv0019_C7471881.html" TargetMode="External"/><Relationship Id="rId12" Type="http://schemas.openxmlformats.org/officeDocument/2006/relationships/hyperlink" Target="https://www.lcsc.com/product-detail/wire-to-board-connector_hctl-xh-2a-l_C2908597.html" TargetMode="External"/><Relationship Id="rId17" Type="http://schemas.openxmlformats.org/officeDocument/2006/relationships/hyperlink" Target="https://www.lcsc.com/product-detail/led-indication-discrete_foshan-nationstar-optoelectronics-ncd0603w3_C158100.html" TargetMode="External"/><Relationship Id="rId25" Type="http://schemas.openxmlformats.org/officeDocument/2006/relationships/hyperlink" Target="https://www.lcsc.com/product-detail/potentiometers-variable-resistors_bochen-chengdu-guosheng-tech-3296w-1-502_C118907.html" TargetMode="External"/><Relationship Id="rId33" Type="http://schemas.openxmlformats.org/officeDocument/2006/relationships/hyperlink" Target="https://www.lcsc.com/product-detail/chip-resistor-surface-mount_yageo-rt0603bre07270rl_C705836.html" TargetMode="External"/><Relationship Id="rId38" Type="http://schemas.openxmlformats.org/officeDocument/2006/relationships/hyperlink" Target="https://vi.aliexpress.com/item/1005003786598481.html?spm=a2g0o.productlist.main.1.41d1PAYkPAYkJP&amp;algo_pvid=80955993-090a-4b8b-a3b6-cf5572639641&amp;algo_exp_id=80955993-090a-4b8b-a3b6-cf5572639641-0&amp;pdp_npi=4%40dis%21USD%211.59%211.02%21%21%211.59%211.02%21%254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dc-power-connectors_xkb-connection-dc-0360-2-5_C319122.html" TargetMode="External"/><Relationship Id="rId18" Type="http://schemas.openxmlformats.org/officeDocument/2006/relationships/hyperlink" Target="https://www.lcsc.com/product-detail/mosfets_born-ao3400a_C344010.html" TargetMode="External"/><Relationship Id="rId26" Type="http://schemas.openxmlformats.org/officeDocument/2006/relationships/hyperlink" Target="https://www.lcsc.com/product-detail/chip-resistor-surface-mount_yageo-rc0805fr-07100kl_C96346.html" TargetMode="External"/><Relationship Id="rId39" Type="http://schemas.openxmlformats.org/officeDocument/2006/relationships/hyperlink" Target="https://vi.aliexpress.com/item/1005005545871582.html?spm=a2g0o.productlist.main.21.47eb54dcwaR8hG&amp;algo_pvid=e7bb4438-9834-43bd-a4ab-3a9207c87a85&amp;algo_exp_id=e7bb4438-9834-43bd-a4ab-3a9207c87a85-10&amp;pdp_npi=4%40dis%21USD%211.37%211.15%21%21%211.37%211.15%21" TargetMode="External"/><Relationship Id="rId21" Type="http://schemas.openxmlformats.org/officeDocument/2006/relationships/hyperlink" Target="https://www.lcsc.com/product-detail/mosfets_goford-g7p03l_C840062.html" TargetMode="External"/><Relationship Id="rId34" Type="http://schemas.openxmlformats.org/officeDocument/2006/relationships/hyperlink" Target="https://www.lcsc.com/product-detail/dc-dc-converters_umw-youtai-semiconductor-co-ltd-xl1509e-12_C5185875.html" TargetMode="External"/><Relationship Id="rId7" Type="http://schemas.openxmlformats.org/officeDocument/2006/relationships/hyperlink" Target="https://www.lcsc.com/product-detail/multilayer-ceramic-capacitors-mlcc-smd-smt_murata-electronics-gcm188r91h103ka37d_C710687.html" TargetMode="External"/><Relationship Id="rId2" Type="http://schemas.openxmlformats.org/officeDocument/2006/relationships/hyperlink" Target="https://www.lcsc.com/product-detail/multilayer-ceramic-capacitors-mlcc-smd-smt_cctc-tcc0603x5r105m250ct_C6266891.html" TargetMode="External"/><Relationship Id="rId16" Type="http://schemas.openxmlformats.org/officeDocument/2006/relationships/hyperlink" Target="https://www.lcsc.com/product-detail/power-inductors_sxn-shun-xiang-nuo-elec-pk0810-221mb_C400317.html" TargetMode="External"/><Relationship Id="rId20" Type="http://schemas.openxmlformats.org/officeDocument/2006/relationships/hyperlink" Target="https://www.lcsc.com/product-detail/mosfets_vbsemi-elec-std12n10l-vb_C5179533.html" TargetMode="External"/><Relationship Id="rId29" Type="http://schemas.openxmlformats.org/officeDocument/2006/relationships/hyperlink" Target="https://www.lcsc.com/product-detail/through-hole-resistors_cco-chian-chia-elec-mf1-4w-1-5k-1-t_C119328.html" TargetMode="External"/><Relationship Id="rId41" Type="http://schemas.openxmlformats.org/officeDocument/2006/relationships/hyperlink" Target="https://vi.aliexpress.com/item/32848489683.html?spm=a2g0o.productlist.main.1.38734cdaoCMJkc&amp;algo_pvid=bc97d007-de81-4e13-9bea-299f13403e53&amp;algo_exp_id=bc97d007-de81-4e13-9bea-299f13403e53-0&amp;pdp_npi=4%40dis%21USD%213.05%212.17%21%21%213.05%212.17%21%40212a" TargetMode="External"/><Relationship Id="rId1" Type="http://schemas.openxmlformats.org/officeDocument/2006/relationships/hyperlink" Target="https://www.lcsc.com/product-detail/aluminum-electrolytic-capacitors-smd_knscha-189rv0027_C7471889.html" TargetMode="External"/><Relationship Id="rId6" Type="http://schemas.openxmlformats.org/officeDocument/2006/relationships/hyperlink" Target="https://www.lcsc.com/product-detail/multilayer-ceramic-capacitors-mlcc-smd-smt_taiyo-yuden-emk325abj107mm-p_C90143.html" TargetMode="External"/><Relationship Id="rId11" Type="http://schemas.openxmlformats.org/officeDocument/2006/relationships/hyperlink" Target="https://www.lcsc.com/product-detail/screw-terminal-blocks_phoenix-contact-1715721_C480516.html" TargetMode="External"/><Relationship Id="rId24" Type="http://schemas.openxmlformats.org/officeDocument/2006/relationships/hyperlink" Target="https://www.lcsc.com/product-detail/through-hole-resistors_huaxing-mechanical-elec-mf1-4w-1k-1-t52_C713997.html" TargetMode="External"/><Relationship Id="rId32" Type="http://schemas.openxmlformats.org/officeDocument/2006/relationships/hyperlink" Target="https://www.lcsc.com/product-detail/chip-resistor-surface-mount_yageo-rc0603fr-071k5l_C114668.html" TargetMode="External"/><Relationship Id="rId37" Type="http://schemas.openxmlformats.org/officeDocument/2006/relationships/hyperlink" Target="https://www.lcsc.com/product-detail/gate-drivers_diodes-incorporated-zxgd3002e6ta_C156276.html" TargetMode="External"/><Relationship Id="rId40" Type="http://schemas.openxmlformats.org/officeDocument/2006/relationships/hyperlink" Target="https://vi.aliexpress.com/item/1005002663971820.html?spm=a2g0o.productlist.main.3.33097fQY7fQYGh&amp;algo_pvid=31429c27-b8ca-4c84-a6da-82968f76658b&amp;algo_exp_id=31429c27-b8ca-4c84-a6da-82968f76658b-1&amp;pdp_npi=4%40dis%21USD%2126.11%215.58%21%21%2126.11%215.58%21" TargetMode="External"/><Relationship Id="rId5" Type="http://schemas.openxmlformats.org/officeDocument/2006/relationships/hyperlink" Target="https://www.lcsc.com/product-detail/film-capacitors_dersonic-cfa2j473jc4pk5136a00_C20754717.html" TargetMode="External"/><Relationship Id="rId15" Type="http://schemas.openxmlformats.org/officeDocument/2006/relationships/hyperlink" Target="https://www.lcsc.com/product-detail/power-inductors_prod-tech-pspmaa0605h-680m-igf_C2983094.html" TargetMode="External"/><Relationship Id="rId23" Type="http://schemas.openxmlformats.org/officeDocument/2006/relationships/hyperlink" Target="https://www.lcsc.com/product-detail/chip-resistor-surface-mount_vishay-intertech-crcw06031m00fkea_C844922.html" TargetMode="External"/><Relationship Id="rId28" Type="http://schemas.openxmlformats.org/officeDocument/2006/relationships/hyperlink" Target="https://www.lcsc.com/product-detail/chip-resistor-surface-mount_yageo-rc1206fr-7w1kl_C859155.html" TargetMode="External"/><Relationship Id="rId36" Type="http://schemas.openxmlformats.org/officeDocument/2006/relationships/hyperlink" Target="https://www.lcsc.com/product-detail/timers-counters_stmicroelectronics-ts555idttr_C880084.html" TargetMode="External"/><Relationship Id="rId10" Type="http://schemas.openxmlformats.org/officeDocument/2006/relationships/hyperlink" Target="https://www.lcsc.com/product-detail/resettable-fuses_bhfuse-bsmd1812-150-33v_C883154.html" TargetMode="External"/><Relationship Id="rId19" Type="http://schemas.openxmlformats.org/officeDocument/2006/relationships/hyperlink" Target="https://www.lcsc.com/product-detail/bipolar-bjt_diodes-incorporated-zxtn2040fta_C460141.html" TargetMode="External"/><Relationship Id="rId31" Type="http://schemas.openxmlformats.org/officeDocument/2006/relationships/hyperlink" Target="https://www.lcsc.com/product-detail/chip-resistor-surface-mount_yageo-rc0603fr-0747rl_C114623.html" TargetMode="External"/><Relationship Id="rId4" Type="http://schemas.openxmlformats.org/officeDocument/2006/relationships/hyperlink" Target="https://www.lcsc.com/product-detail/multilayer-ceramic-capacitors-mlcc-smd-smt_yageo-cc0603krx5r8bb225_C309478.html" TargetMode="External"/><Relationship Id="rId9" Type="http://schemas.openxmlformats.org/officeDocument/2006/relationships/hyperlink" Target="https://www.lcsc.com/product-detail/schottky-diodes_juxing-ss510b_C3011128.html" TargetMode="External"/><Relationship Id="rId14" Type="http://schemas.openxmlformats.org/officeDocument/2006/relationships/hyperlink" Target="https://www.lcsc.com/product-detail/wire-to-board-connector_xunpu-wafer-ph2-0-2pwb_C3029440.html" TargetMode="External"/><Relationship Id="rId22" Type="http://schemas.openxmlformats.org/officeDocument/2006/relationships/hyperlink" Target="https://www.lcsc.com/product-detail/chip-resistor-surface-mount_yageo-rc0805fr-071kl_C95781.html" TargetMode="External"/><Relationship Id="rId27" Type="http://schemas.openxmlformats.org/officeDocument/2006/relationships/hyperlink" Target="https://www.lcsc.com/product-detail/chip-resistor-surface-mount_yageo-rc2010fk-0710rl_C137067.html" TargetMode="External"/><Relationship Id="rId30" Type="http://schemas.openxmlformats.org/officeDocument/2006/relationships/hyperlink" Target="https://www.lcsc.com/product-detail/chip-resistor-surface-mount_yageo-rt0603brd0710kl_C95204.html" TargetMode="External"/><Relationship Id="rId35" Type="http://schemas.openxmlformats.org/officeDocument/2006/relationships/hyperlink" Target="https://www.lcsc.com/product-detail/counters-dividers_texas-instruments-cd4060bm96_C32699.html" TargetMode="External"/><Relationship Id="rId8" Type="http://schemas.openxmlformats.org/officeDocument/2006/relationships/hyperlink" Target="https://www.lcsc.com/product-detail/multilayer-ceramic-capacitors-mlcc-leaded_dersonic-cd1h221jc9beche100_C2761745.html" TargetMode="External"/><Relationship Id="rId3" Type="http://schemas.openxmlformats.org/officeDocument/2006/relationships/hyperlink" Target="https://www.lcsc.com/product-detail/aluminum-electrolytic-capacitors-smd_knscha-189rv0019_C7471881.html" TargetMode="External"/><Relationship Id="rId12" Type="http://schemas.openxmlformats.org/officeDocument/2006/relationships/hyperlink" Target="https://www.lcsc.com/product-detail/wire-to-board-connector_hctl-xh-2a-l_C2908597.html" TargetMode="External"/><Relationship Id="rId17" Type="http://schemas.openxmlformats.org/officeDocument/2006/relationships/hyperlink" Target="https://www.lcsc.com/product-detail/led-indication-discrete_foshan-nationstar-optoelectronics-ncd0603w3_C158100.html" TargetMode="External"/><Relationship Id="rId25" Type="http://schemas.openxmlformats.org/officeDocument/2006/relationships/hyperlink" Target="https://www.lcsc.com/product-detail/potentiometers-variable-resistors_bochen-chengdu-guosheng-tech-3296w-1-502_C118907.html" TargetMode="External"/><Relationship Id="rId33" Type="http://schemas.openxmlformats.org/officeDocument/2006/relationships/hyperlink" Target="https://www.lcsc.com/product-detail/chip-resistor-surface-mount_yageo-rt0603bre07270rl_C705836.html" TargetMode="External"/><Relationship Id="rId38" Type="http://schemas.openxmlformats.org/officeDocument/2006/relationships/hyperlink" Target="https://vi.aliexpress.com/item/1005003786598481.html?spm=a2g0o.productlist.main.1.41d1PAYkPAYkJP&amp;algo_pvid=80955993-090a-4b8b-a3b6-cf5572639641&amp;algo_exp_id=80955993-090a-4b8b-a3b6-cf5572639641-0&amp;pdp_npi=4%40dis%21USD%211.59%211.02%21%21%211.59%211.02%21%2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Q62"/>
  <sheetViews>
    <sheetView tabSelected="1" workbookViewId="0">
      <selection activeCell="M57" sqref="M57"/>
    </sheetView>
  </sheetViews>
  <sheetFormatPr defaultRowHeight="15"/>
  <cols>
    <col min="2" max="2" width="3.140625" style="10" customWidth="1"/>
    <col min="3" max="3" width="13.140625" style="10" bestFit="1" customWidth="1"/>
    <col min="4" max="4" width="27.42578125" customWidth="1"/>
    <col min="5" max="5" width="30.85546875" customWidth="1"/>
    <col min="6" max="6" width="25.7109375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10.5703125" customWidth="1"/>
    <col min="15" max="15" width="18.7109375" bestFit="1" customWidth="1"/>
    <col min="16" max="16" width="19.28515625" bestFit="1" customWidth="1"/>
    <col min="17" max="17" width="16.5703125" bestFit="1" customWidth="1"/>
  </cols>
  <sheetData>
    <row r="1" spans="1:17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6"/>
      <c r="L1" s="56"/>
      <c r="M1" s="56"/>
      <c r="N1" s="56"/>
      <c r="O1" s="56"/>
      <c r="P1" s="56"/>
      <c r="Q1" s="56"/>
    </row>
    <row r="2" spans="1:17" ht="32.25" thickBot="1">
      <c r="A2" s="1"/>
      <c r="B2" s="7"/>
      <c r="C2" s="13"/>
      <c r="D2" s="4" t="s">
        <v>0</v>
      </c>
      <c r="E2" s="4"/>
      <c r="F2" s="40" t="s">
        <v>239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</row>
    <row r="3" spans="1:17" ht="16.5" thickBot="1">
      <c r="A3" s="1"/>
      <c r="B3" s="8"/>
      <c r="C3" s="26"/>
      <c r="D3" s="39" t="s">
        <v>1</v>
      </c>
      <c r="E3" s="27"/>
      <c r="F3" s="41" t="s">
        <v>240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</row>
    <row r="4" spans="1:17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</row>
    <row r="5" spans="1:17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</row>
    <row r="6" spans="1:17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</row>
    <row r="7" spans="1:17" ht="15.75" thickBot="1">
      <c r="A7" s="1"/>
      <c r="B7" s="12" t="s">
        <v>2</v>
      </c>
      <c r="C7" s="12" t="s">
        <v>5</v>
      </c>
      <c r="D7" s="12" t="s">
        <v>23</v>
      </c>
      <c r="E7" s="12" t="s">
        <v>61</v>
      </c>
      <c r="F7" s="12" t="s">
        <v>99</v>
      </c>
      <c r="G7" s="12" t="s">
        <v>129</v>
      </c>
      <c r="H7" s="12" t="s">
        <v>155</v>
      </c>
      <c r="I7" s="12" t="s">
        <v>241</v>
      </c>
      <c r="J7" s="12" t="s">
        <v>181</v>
      </c>
      <c r="K7" s="12" t="s">
        <v>242</v>
      </c>
      <c r="L7" s="12" t="s">
        <v>238</v>
      </c>
      <c r="M7" s="12" t="s">
        <v>243</v>
      </c>
      <c r="N7" s="12" t="s">
        <v>244</v>
      </c>
      <c r="O7" s="12" t="s">
        <v>245</v>
      </c>
      <c r="P7" s="12" t="s">
        <v>246</v>
      </c>
      <c r="Q7" s="12" t="s">
        <v>247</v>
      </c>
    </row>
    <row r="8" spans="1:17" ht="48">
      <c r="A8" s="1"/>
      <c r="B8" s="16">
        <f>ROW(B8) - ROW($B$7)</f>
        <v>1</v>
      </c>
      <c r="C8" s="22" t="s">
        <v>6</v>
      </c>
      <c r="D8" s="14" t="s">
        <v>24</v>
      </c>
      <c r="E8" s="14" t="s">
        <v>62</v>
      </c>
      <c r="F8" s="14" t="s">
        <v>248</v>
      </c>
      <c r="G8" s="14" t="s">
        <v>100</v>
      </c>
      <c r="H8" s="14" t="s">
        <v>156</v>
      </c>
      <c r="I8" s="64" t="s">
        <v>298</v>
      </c>
      <c r="J8" s="14" t="s">
        <v>182</v>
      </c>
      <c r="K8" s="14" t="s">
        <v>219</v>
      </c>
      <c r="L8" s="14">
        <v>1</v>
      </c>
      <c r="M8" s="14" t="s">
        <v>258</v>
      </c>
      <c r="N8" s="47" t="s">
        <v>257</v>
      </c>
      <c r="O8" s="15" t="s">
        <v>263</v>
      </c>
      <c r="P8" s="15">
        <f>O8*M8</f>
        <v>0.75800000000000001</v>
      </c>
      <c r="Q8" s="14"/>
    </row>
    <row r="9" spans="1:17" ht="36">
      <c r="A9" s="1"/>
      <c r="B9" s="17">
        <f t="shared" ref="B9:B48" si="0">ROW(B9) - ROW($B$7)</f>
        <v>2</v>
      </c>
      <c r="C9" s="23" t="s">
        <v>7</v>
      </c>
      <c r="D9" s="20" t="s">
        <v>25</v>
      </c>
      <c r="E9" s="20" t="s">
        <v>63</v>
      </c>
      <c r="F9" s="20" t="s">
        <v>101</v>
      </c>
      <c r="G9" s="20" t="s">
        <v>130</v>
      </c>
      <c r="H9" s="20" t="s">
        <v>157</v>
      </c>
      <c r="I9" s="64" t="s">
        <v>298</v>
      </c>
      <c r="J9" s="20" t="s">
        <v>183</v>
      </c>
      <c r="K9" s="20" t="s">
        <v>220</v>
      </c>
      <c r="L9" s="20">
        <v>2</v>
      </c>
      <c r="M9" s="14" t="s">
        <v>259</v>
      </c>
      <c r="N9" s="47" t="s">
        <v>257</v>
      </c>
      <c r="O9" s="21" t="s">
        <v>264</v>
      </c>
      <c r="P9" s="15">
        <f t="shared" ref="P9:P43" si="1">O9*M9</f>
        <v>0.38999999999999996</v>
      </c>
      <c r="Q9" s="20"/>
    </row>
    <row r="10" spans="1:17" ht="48">
      <c r="A10" s="1"/>
      <c r="B10" s="16">
        <f>ROW(B10) - ROW($B$7)</f>
        <v>3</v>
      </c>
      <c r="C10" s="22" t="s">
        <v>6</v>
      </c>
      <c r="D10" s="14" t="s">
        <v>26</v>
      </c>
      <c r="E10" s="14" t="s">
        <v>64</v>
      </c>
      <c r="F10" s="14" t="s">
        <v>248</v>
      </c>
      <c r="G10" s="14" t="s">
        <v>102</v>
      </c>
      <c r="H10" s="14" t="s">
        <v>156</v>
      </c>
      <c r="I10" s="64" t="s">
        <v>298</v>
      </c>
      <c r="J10" s="14" t="s">
        <v>184</v>
      </c>
      <c r="K10" s="14" t="s">
        <v>221</v>
      </c>
      <c r="L10" s="14">
        <v>1</v>
      </c>
      <c r="M10" s="14" t="s">
        <v>258</v>
      </c>
      <c r="N10" s="47" t="s">
        <v>257</v>
      </c>
      <c r="O10" s="15" t="s">
        <v>265</v>
      </c>
      <c r="P10" s="15">
        <f t="shared" si="1"/>
        <v>0.43999999999999995</v>
      </c>
      <c r="Q10" s="14"/>
    </row>
    <row r="11" spans="1:17">
      <c r="A11" s="1"/>
      <c r="B11" s="17">
        <f t="shared" si="0"/>
        <v>4</v>
      </c>
      <c r="C11" s="23" t="s">
        <v>7</v>
      </c>
      <c r="D11" s="20" t="s">
        <v>27</v>
      </c>
      <c r="E11" s="20" t="s">
        <v>65</v>
      </c>
      <c r="F11" s="20" t="s">
        <v>103</v>
      </c>
      <c r="G11" s="20" t="s">
        <v>131</v>
      </c>
      <c r="H11" s="20" t="s">
        <v>158</v>
      </c>
      <c r="I11" s="64" t="s">
        <v>298</v>
      </c>
      <c r="J11" s="20" t="s">
        <v>185</v>
      </c>
      <c r="K11" s="20" t="s">
        <v>222</v>
      </c>
      <c r="L11" s="20">
        <v>1</v>
      </c>
      <c r="M11" s="14" t="s">
        <v>260</v>
      </c>
      <c r="N11" s="47" t="s">
        <v>257</v>
      </c>
      <c r="O11" s="21" t="s">
        <v>266</v>
      </c>
      <c r="P11" s="15">
        <f t="shared" si="1"/>
        <v>0.85499999999999998</v>
      </c>
      <c r="Q11" s="20"/>
    </row>
    <row r="12" spans="1:17" ht="24">
      <c r="A12" s="1"/>
      <c r="B12" s="16">
        <f>ROW(B12) - ROW($B$7)</f>
        <v>5</v>
      </c>
      <c r="C12" s="22" t="s">
        <v>7</v>
      </c>
      <c r="D12" s="14" t="s">
        <v>28</v>
      </c>
      <c r="E12" s="14" t="s">
        <v>66</v>
      </c>
      <c r="F12" s="14" t="s">
        <v>248</v>
      </c>
      <c r="G12" s="14" t="s">
        <v>104</v>
      </c>
      <c r="H12" s="14" t="s">
        <v>159</v>
      </c>
      <c r="I12" s="64" t="s">
        <v>298</v>
      </c>
      <c r="J12" s="14" t="s">
        <v>186</v>
      </c>
      <c r="K12" s="14" t="s">
        <v>223</v>
      </c>
      <c r="L12" s="14">
        <v>1</v>
      </c>
      <c r="M12" s="14" t="s">
        <v>261</v>
      </c>
      <c r="N12" s="47" t="s">
        <v>257</v>
      </c>
      <c r="O12" s="15" t="s">
        <v>267</v>
      </c>
      <c r="P12" s="15">
        <f t="shared" si="1"/>
        <v>0.52600000000000002</v>
      </c>
      <c r="Q12" s="14"/>
    </row>
    <row r="13" spans="1:17">
      <c r="A13" s="1"/>
      <c r="B13" s="17">
        <f t="shared" si="0"/>
        <v>6</v>
      </c>
      <c r="C13" s="23" t="s">
        <v>7</v>
      </c>
      <c r="D13" s="20" t="s">
        <v>29</v>
      </c>
      <c r="E13" s="20" t="s">
        <v>67</v>
      </c>
      <c r="F13" s="20" t="s">
        <v>105</v>
      </c>
      <c r="G13" s="20" t="s">
        <v>132</v>
      </c>
      <c r="H13" s="20" t="s">
        <v>160</v>
      </c>
      <c r="I13" s="64" t="s">
        <v>298</v>
      </c>
      <c r="J13" s="20" t="s">
        <v>187</v>
      </c>
      <c r="K13" s="20" t="s">
        <v>224</v>
      </c>
      <c r="L13" s="20">
        <v>1</v>
      </c>
      <c r="M13" s="14">
        <v>2</v>
      </c>
      <c r="N13" s="47" t="s">
        <v>257</v>
      </c>
      <c r="O13" s="21" t="s">
        <v>268</v>
      </c>
      <c r="P13" s="15">
        <f t="shared" si="1"/>
        <v>0.89219999999999999</v>
      </c>
      <c r="Q13" s="20"/>
    </row>
    <row r="14" spans="1:17">
      <c r="A14" s="1"/>
      <c r="B14" s="16">
        <f>ROW(B14) - ROW($B$7)</f>
        <v>7</v>
      </c>
      <c r="C14" s="22" t="s">
        <v>7</v>
      </c>
      <c r="D14" s="14" t="s">
        <v>30</v>
      </c>
      <c r="E14" s="14" t="s">
        <v>68</v>
      </c>
      <c r="F14" s="14" t="s">
        <v>101</v>
      </c>
      <c r="G14" s="20" t="s">
        <v>251</v>
      </c>
      <c r="H14" s="20" t="s">
        <v>252</v>
      </c>
      <c r="I14" s="64" t="s">
        <v>298</v>
      </c>
      <c r="J14" s="14" t="s">
        <v>188</v>
      </c>
      <c r="K14" s="14" t="s">
        <v>225</v>
      </c>
      <c r="L14" s="14">
        <v>1</v>
      </c>
      <c r="M14" s="14" t="s">
        <v>261</v>
      </c>
      <c r="N14" s="47" t="s">
        <v>257</v>
      </c>
      <c r="O14" s="15" t="s">
        <v>269</v>
      </c>
      <c r="P14" s="15">
        <f t="shared" si="1"/>
        <v>0.626</v>
      </c>
      <c r="Q14" s="14"/>
    </row>
    <row r="15" spans="1:17" ht="36">
      <c r="A15" s="1"/>
      <c r="B15" s="17">
        <f t="shared" si="0"/>
        <v>8</v>
      </c>
      <c r="C15" s="23" t="s">
        <v>6</v>
      </c>
      <c r="D15" s="20" t="s">
        <v>31</v>
      </c>
      <c r="E15" s="20" t="s">
        <v>69</v>
      </c>
      <c r="F15" s="14" t="s">
        <v>248</v>
      </c>
      <c r="G15" s="20" t="s">
        <v>106</v>
      </c>
      <c r="H15" s="20" t="s">
        <v>159</v>
      </c>
      <c r="I15" s="64" t="s">
        <v>298</v>
      </c>
      <c r="J15" s="20" t="s">
        <v>189</v>
      </c>
      <c r="K15" s="20" t="s">
        <v>226</v>
      </c>
      <c r="L15" s="20">
        <v>1</v>
      </c>
      <c r="M15" s="14" t="s">
        <v>261</v>
      </c>
      <c r="N15" s="47" t="s">
        <v>257</v>
      </c>
      <c r="O15" s="21" t="s">
        <v>270</v>
      </c>
      <c r="P15" s="15">
        <f t="shared" si="1"/>
        <v>0.65199999999999991</v>
      </c>
      <c r="Q15" s="20"/>
    </row>
    <row r="16" spans="1:17">
      <c r="A16" s="1"/>
      <c r="B16" s="16">
        <f>ROW(B16) - ROW($B$7)</f>
        <v>9</v>
      </c>
      <c r="C16" s="22" t="s">
        <v>8</v>
      </c>
      <c r="D16" s="14" t="s">
        <v>32</v>
      </c>
      <c r="E16" s="14" t="s">
        <v>70</v>
      </c>
      <c r="F16" s="14" t="s">
        <v>107</v>
      </c>
      <c r="G16" s="14" t="s">
        <v>133</v>
      </c>
      <c r="H16" s="14" t="s">
        <v>161</v>
      </c>
      <c r="I16" s="64" t="s">
        <v>298</v>
      </c>
      <c r="J16" s="14" t="s">
        <v>190</v>
      </c>
      <c r="K16" s="14" t="s">
        <v>249</v>
      </c>
      <c r="L16" s="14">
        <v>2</v>
      </c>
      <c r="M16" s="14" t="s">
        <v>262</v>
      </c>
      <c r="N16" s="47" t="s">
        <v>257</v>
      </c>
      <c r="O16" s="15" t="s">
        <v>271</v>
      </c>
      <c r="P16" s="15">
        <f t="shared" si="1"/>
        <v>0.59399999999999997</v>
      </c>
      <c r="Q16" s="14"/>
    </row>
    <row r="17" spans="1:17" ht="24">
      <c r="A17" s="1"/>
      <c r="B17" s="17">
        <f t="shared" si="0"/>
        <v>10</v>
      </c>
      <c r="C17" s="23" t="s">
        <v>9</v>
      </c>
      <c r="D17" s="20" t="s">
        <v>33</v>
      </c>
      <c r="E17" s="20" t="s">
        <v>71</v>
      </c>
      <c r="F17" s="20" t="s">
        <v>108</v>
      </c>
      <c r="G17" s="20" t="s">
        <v>134</v>
      </c>
      <c r="H17" s="20" t="s">
        <v>162</v>
      </c>
      <c r="I17" s="64" t="s">
        <v>298</v>
      </c>
      <c r="J17" s="20" t="s">
        <v>191</v>
      </c>
      <c r="K17" s="14" t="s">
        <v>249</v>
      </c>
      <c r="L17" s="20">
        <v>1</v>
      </c>
      <c r="M17" s="14" t="s">
        <v>258</v>
      </c>
      <c r="N17" s="47" t="s">
        <v>257</v>
      </c>
      <c r="O17" s="21" t="s">
        <v>272</v>
      </c>
      <c r="P17" s="15">
        <f t="shared" si="1"/>
        <v>0.34349999999999997</v>
      </c>
      <c r="Q17" s="20"/>
    </row>
    <row r="18" spans="1:17">
      <c r="A18" s="1"/>
      <c r="B18" s="16">
        <f>ROW(B18) - ROW($B$7)</f>
        <v>11</v>
      </c>
      <c r="C18" s="22" t="s">
        <v>10</v>
      </c>
      <c r="D18" s="14" t="s">
        <v>34</v>
      </c>
      <c r="E18" s="14" t="s">
        <v>72</v>
      </c>
      <c r="F18" s="14" t="s">
        <v>248</v>
      </c>
      <c r="G18" s="14">
        <v>1715721</v>
      </c>
      <c r="H18" s="14" t="s">
        <v>163</v>
      </c>
      <c r="I18" s="64" t="s">
        <v>298</v>
      </c>
      <c r="J18" s="14" t="s">
        <v>192</v>
      </c>
      <c r="K18" s="14" t="s">
        <v>249</v>
      </c>
      <c r="L18" s="14">
        <v>1</v>
      </c>
      <c r="M18" s="14">
        <v>2</v>
      </c>
      <c r="N18" s="47" t="s">
        <v>257</v>
      </c>
      <c r="O18" s="15" t="s">
        <v>273</v>
      </c>
      <c r="P18" s="15">
        <f t="shared" si="1"/>
        <v>0.71179999999999999</v>
      </c>
      <c r="Q18" s="14"/>
    </row>
    <row r="19" spans="1:17" ht="36">
      <c r="A19" s="1"/>
      <c r="B19" s="17">
        <f t="shared" si="0"/>
        <v>12</v>
      </c>
      <c r="C19" s="23" t="s">
        <v>11</v>
      </c>
      <c r="D19" s="20" t="s">
        <v>35</v>
      </c>
      <c r="E19" s="20" t="s">
        <v>73</v>
      </c>
      <c r="F19" s="14" t="s">
        <v>248</v>
      </c>
      <c r="G19" s="20" t="s">
        <v>109</v>
      </c>
      <c r="H19" s="20" t="s">
        <v>164</v>
      </c>
      <c r="I19" s="64" t="s">
        <v>298</v>
      </c>
      <c r="J19" s="20" t="s">
        <v>193</v>
      </c>
      <c r="K19" s="14" t="s">
        <v>249</v>
      </c>
      <c r="L19" s="20">
        <v>1</v>
      </c>
      <c r="M19" s="14" t="s">
        <v>260</v>
      </c>
      <c r="N19" s="47" t="s">
        <v>257</v>
      </c>
      <c r="O19" s="21" t="s">
        <v>274</v>
      </c>
      <c r="P19" s="15">
        <f t="shared" si="1"/>
        <v>0.71499999999999997</v>
      </c>
      <c r="Q19" s="20"/>
    </row>
    <row r="20" spans="1:17" ht="36">
      <c r="A20" s="1"/>
      <c r="B20" s="16">
        <f>ROW(B20) - ROW($B$7)</f>
        <v>13</v>
      </c>
      <c r="C20" s="22" t="s">
        <v>12</v>
      </c>
      <c r="D20" s="14" t="s">
        <v>36</v>
      </c>
      <c r="E20" s="14" t="s">
        <v>74</v>
      </c>
      <c r="F20" s="14" t="s">
        <v>248</v>
      </c>
      <c r="G20" s="14" t="s">
        <v>110</v>
      </c>
      <c r="H20" s="14" t="s">
        <v>165</v>
      </c>
      <c r="I20" s="64" t="s">
        <v>298</v>
      </c>
      <c r="J20" s="14" t="s">
        <v>194</v>
      </c>
      <c r="K20" s="14" t="s">
        <v>249</v>
      </c>
      <c r="L20" s="14">
        <v>1</v>
      </c>
      <c r="M20" s="14" t="s">
        <v>258</v>
      </c>
      <c r="N20" s="47" t="s">
        <v>257</v>
      </c>
      <c r="O20" s="15" t="s">
        <v>275</v>
      </c>
      <c r="P20" s="15">
        <f t="shared" si="1"/>
        <v>0.67500000000000004</v>
      </c>
      <c r="Q20" s="14"/>
    </row>
    <row r="21" spans="1:17" ht="36">
      <c r="A21" s="1"/>
      <c r="B21" s="17">
        <f t="shared" si="0"/>
        <v>14</v>
      </c>
      <c r="C21" s="23" t="s">
        <v>13</v>
      </c>
      <c r="D21" s="59" t="s">
        <v>37</v>
      </c>
      <c r="E21" s="59" t="s">
        <v>75</v>
      </c>
      <c r="F21" s="42" t="s">
        <v>248</v>
      </c>
      <c r="G21" s="59" t="s">
        <v>111</v>
      </c>
      <c r="H21" s="59" t="s">
        <v>166</v>
      </c>
      <c r="I21" s="62" t="s">
        <v>297</v>
      </c>
      <c r="J21" s="59" t="s">
        <v>195</v>
      </c>
      <c r="K21" s="42" t="s">
        <v>249</v>
      </c>
      <c r="L21" s="59">
        <v>1</v>
      </c>
      <c r="M21" s="42" t="s">
        <v>262</v>
      </c>
      <c r="N21" s="60" t="s">
        <v>257</v>
      </c>
      <c r="O21" s="61" t="s">
        <v>249</v>
      </c>
      <c r="P21" s="43" t="s">
        <v>249</v>
      </c>
      <c r="Q21" s="63" t="s">
        <v>250</v>
      </c>
    </row>
    <row r="22" spans="1:17" ht="24">
      <c r="A22" s="1"/>
      <c r="B22" s="16">
        <f>ROW(B22) - ROW($B$7)</f>
        <v>15</v>
      </c>
      <c r="C22" s="22" t="s">
        <v>14</v>
      </c>
      <c r="D22" s="14" t="s">
        <v>38</v>
      </c>
      <c r="E22" s="14" t="s">
        <v>76</v>
      </c>
      <c r="F22" s="14" t="s">
        <v>248</v>
      </c>
      <c r="G22" s="14" t="s">
        <v>112</v>
      </c>
      <c r="H22" s="14" t="s">
        <v>167</v>
      </c>
      <c r="I22" s="64" t="s">
        <v>298</v>
      </c>
      <c r="J22" s="14" t="s">
        <v>196</v>
      </c>
      <c r="K22" s="14" t="s">
        <v>227</v>
      </c>
      <c r="L22" s="14">
        <v>1</v>
      </c>
      <c r="M22" s="14" t="s">
        <v>258</v>
      </c>
      <c r="N22" s="47" t="s">
        <v>257</v>
      </c>
      <c r="O22" s="15" t="s">
        <v>276</v>
      </c>
      <c r="P22" s="15">
        <f t="shared" si="1"/>
        <v>0.73150000000000004</v>
      </c>
      <c r="Q22" s="14"/>
    </row>
    <row r="23" spans="1:17" ht="24">
      <c r="A23" s="1"/>
      <c r="B23" s="17">
        <f t="shared" si="0"/>
        <v>16</v>
      </c>
      <c r="C23" s="23" t="s">
        <v>14</v>
      </c>
      <c r="D23" s="20" t="s">
        <v>39</v>
      </c>
      <c r="E23" s="20" t="s">
        <v>77</v>
      </c>
      <c r="F23" s="14" t="s">
        <v>248</v>
      </c>
      <c r="G23" s="20" t="s">
        <v>113</v>
      </c>
      <c r="H23" s="20" t="s">
        <v>168</v>
      </c>
      <c r="I23" s="64" t="s">
        <v>298</v>
      </c>
      <c r="J23" s="20" t="s">
        <v>197</v>
      </c>
      <c r="K23" s="20" t="s">
        <v>228</v>
      </c>
      <c r="L23" s="20">
        <v>1</v>
      </c>
      <c r="M23" s="14" t="s">
        <v>258</v>
      </c>
      <c r="N23" s="47" t="s">
        <v>257</v>
      </c>
      <c r="O23" s="21" t="s">
        <v>277</v>
      </c>
      <c r="P23" s="15">
        <f t="shared" si="1"/>
        <v>0.42500000000000004</v>
      </c>
      <c r="Q23" s="20"/>
    </row>
    <row r="24" spans="1:17" ht="24">
      <c r="A24" s="1"/>
      <c r="B24" s="16">
        <f>ROW(B24) - ROW($B$7)</f>
        <v>17</v>
      </c>
      <c r="C24" s="22" t="s">
        <v>15</v>
      </c>
      <c r="D24" s="14" t="s">
        <v>40</v>
      </c>
      <c r="E24" s="14" t="s">
        <v>78</v>
      </c>
      <c r="F24" s="14" t="s">
        <v>114</v>
      </c>
      <c r="G24" s="14" t="s">
        <v>135</v>
      </c>
      <c r="H24" s="14" t="s">
        <v>169</v>
      </c>
      <c r="I24" s="64" t="s">
        <v>298</v>
      </c>
      <c r="J24" s="14" t="s">
        <v>198</v>
      </c>
      <c r="K24" s="14" t="s">
        <v>249</v>
      </c>
      <c r="L24" s="14">
        <v>1</v>
      </c>
      <c r="M24" s="14" t="s">
        <v>261</v>
      </c>
      <c r="N24" s="47" t="s">
        <v>257</v>
      </c>
      <c r="O24" s="15" t="s">
        <v>278</v>
      </c>
      <c r="P24" s="15">
        <f t="shared" si="1"/>
        <v>0.498</v>
      </c>
      <c r="Q24" s="14"/>
    </row>
    <row r="25" spans="1:17" ht="36">
      <c r="A25" s="1"/>
      <c r="B25" s="17">
        <f t="shared" si="0"/>
        <v>18</v>
      </c>
      <c r="C25" s="23" t="s">
        <v>16</v>
      </c>
      <c r="D25" s="20" t="s">
        <v>41</v>
      </c>
      <c r="E25" s="20" t="s">
        <v>79</v>
      </c>
      <c r="F25" s="20" t="s">
        <v>115</v>
      </c>
      <c r="G25" s="20" t="s">
        <v>136</v>
      </c>
      <c r="H25" s="20" t="s">
        <v>170</v>
      </c>
      <c r="I25" s="64" t="s">
        <v>298</v>
      </c>
      <c r="J25" s="20" t="s">
        <v>199</v>
      </c>
      <c r="K25" s="14" t="s">
        <v>249</v>
      </c>
      <c r="L25" s="20">
        <v>1</v>
      </c>
      <c r="M25" s="14" t="s">
        <v>262</v>
      </c>
      <c r="N25" s="47" t="s">
        <v>257</v>
      </c>
      <c r="O25" s="21" t="s">
        <v>279</v>
      </c>
      <c r="P25" s="15">
        <f t="shared" si="1"/>
        <v>0.45300000000000001</v>
      </c>
      <c r="Q25" s="20"/>
    </row>
    <row r="26" spans="1:17">
      <c r="A26" s="1"/>
      <c r="B26" s="16">
        <f>ROW(B26) - ROW($B$7)</f>
        <v>19</v>
      </c>
      <c r="C26" s="22" t="s">
        <v>17</v>
      </c>
      <c r="D26" s="14" t="s">
        <v>42</v>
      </c>
      <c r="E26" s="14" t="s">
        <v>80</v>
      </c>
      <c r="F26" s="14" t="s">
        <v>116</v>
      </c>
      <c r="G26" s="14" t="s">
        <v>137</v>
      </c>
      <c r="H26" s="14" t="s">
        <v>171</v>
      </c>
      <c r="I26" s="64" t="s">
        <v>298</v>
      </c>
      <c r="J26" s="14" t="s">
        <v>200</v>
      </c>
      <c r="K26" s="14" t="s">
        <v>249</v>
      </c>
      <c r="L26" s="14">
        <v>2</v>
      </c>
      <c r="M26" s="14" t="s">
        <v>262</v>
      </c>
      <c r="N26" s="47" t="s">
        <v>257</v>
      </c>
      <c r="O26" s="15" t="s">
        <v>280</v>
      </c>
      <c r="P26" s="15">
        <f t="shared" si="1"/>
        <v>0.496</v>
      </c>
      <c r="Q26" s="14"/>
    </row>
    <row r="27" spans="1:17" ht="36">
      <c r="A27" s="1"/>
      <c r="B27" s="17">
        <f t="shared" si="0"/>
        <v>20</v>
      </c>
      <c r="C27" s="23" t="s">
        <v>18</v>
      </c>
      <c r="D27" s="20" t="s">
        <v>43</v>
      </c>
      <c r="E27" s="20" t="s">
        <v>81</v>
      </c>
      <c r="F27" s="20" t="s">
        <v>117</v>
      </c>
      <c r="G27" s="20" t="s">
        <v>138</v>
      </c>
      <c r="H27" s="20" t="s">
        <v>172</v>
      </c>
      <c r="I27" s="64" t="s">
        <v>298</v>
      </c>
      <c r="J27" s="20" t="s">
        <v>201</v>
      </c>
      <c r="K27" s="14" t="s">
        <v>249</v>
      </c>
      <c r="L27" s="20">
        <v>1</v>
      </c>
      <c r="M27" s="14">
        <v>2</v>
      </c>
      <c r="N27" s="47" t="s">
        <v>257</v>
      </c>
      <c r="O27" s="21" t="s">
        <v>281</v>
      </c>
      <c r="P27" s="15">
        <f t="shared" si="1"/>
        <v>0.57520000000000004</v>
      </c>
      <c r="Q27" s="20"/>
    </row>
    <row r="28" spans="1:17" ht="24">
      <c r="A28" s="1"/>
      <c r="B28" s="16">
        <f>ROW(B28) - ROW($B$7)</f>
        <v>21</v>
      </c>
      <c r="C28" s="22" t="s">
        <v>16</v>
      </c>
      <c r="D28" s="14" t="s">
        <v>44</v>
      </c>
      <c r="E28" s="14" t="s">
        <v>82</v>
      </c>
      <c r="F28" s="14" t="s">
        <v>118</v>
      </c>
      <c r="G28" s="14" t="s">
        <v>139</v>
      </c>
      <c r="H28" s="14" t="s">
        <v>173</v>
      </c>
      <c r="I28" s="64" t="s">
        <v>298</v>
      </c>
      <c r="J28" s="14" t="s">
        <v>202</v>
      </c>
      <c r="K28" s="14" t="s">
        <v>249</v>
      </c>
      <c r="L28" s="14">
        <v>1</v>
      </c>
      <c r="M28" s="14" t="s">
        <v>258</v>
      </c>
      <c r="N28" s="47" t="s">
        <v>257</v>
      </c>
      <c r="O28" s="15" t="s">
        <v>282</v>
      </c>
      <c r="P28" s="15">
        <f t="shared" si="1"/>
        <v>0.44850000000000001</v>
      </c>
      <c r="Q28" s="14"/>
    </row>
    <row r="29" spans="1:17">
      <c r="A29" s="1"/>
      <c r="B29" s="17">
        <f t="shared" si="0"/>
        <v>22</v>
      </c>
      <c r="C29" s="23" t="s">
        <v>19</v>
      </c>
      <c r="D29" s="20" t="s">
        <v>45</v>
      </c>
      <c r="E29" s="20" t="s">
        <v>83</v>
      </c>
      <c r="F29" s="20" t="s">
        <v>119</v>
      </c>
      <c r="G29" s="20" t="s">
        <v>140</v>
      </c>
      <c r="H29" s="20" t="s">
        <v>158</v>
      </c>
      <c r="I29" s="64" t="s">
        <v>298</v>
      </c>
      <c r="J29" s="20" t="s">
        <v>203</v>
      </c>
      <c r="K29" s="20" t="s">
        <v>229</v>
      </c>
      <c r="L29" s="20">
        <v>1</v>
      </c>
      <c r="M29" s="14" t="s">
        <v>259</v>
      </c>
      <c r="N29" s="47" t="s">
        <v>257</v>
      </c>
      <c r="O29" s="21" t="s">
        <v>283</v>
      </c>
      <c r="P29" s="15">
        <f t="shared" si="1"/>
        <v>0.18</v>
      </c>
      <c r="Q29" s="20"/>
    </row>
    <row r="30" spans="1:17">
      <c r="A30" s="1"/>
      <c r="B30" s="16">
        <f>ROW(B30) - ROW($B$7)</f>
        <v>23</v>
      </c>
      <c r="C30" s="22" t="s">
        <v>20</v>
      </c>
      <c r="D30" s="14" t="s">
        <v>46</v>
      </c>
      <c r="E30" s="14" t="s">
        <v>84</v>
      </c>
      <c r="F30" s="14" t="s">
        <v>120</v>
      </c>
      <c r="G30" s="14" t="s">
        <v>141</v>
      </c>
      <c r="H30" s="14" t="s">
        <v>174</v>
      </c>
      <c r="I30" s="64" t="s">
        <v>298</v>
      </c>
      <c r="J30" s="14" t="s">
        <v>204</v>
      </c>
      <c r="K30" s="14" t="s">
        <v>230</v>
      </c>
      <c r="L30" s="14">
        <v>1</v>
      </c>
      <c r="M30" s="14" t="s">
        <v>259</v>
      </c>
      <c r="N30" s="47" t="s">
        <v>257</v>
      </c>
      <c r="O30" s="15" t="s">
        <v>284</v>
      </c>
      <c r="P30" s="15">
        <f t="shared" si="1"/>
        <v>0.33999999999999997</v>
      </c>
      <c r="Q30" s="14"/>
    </row>
    <row r="31" spans="1:17" ht="36">
      <c r="A31" s="1"/>
      <c r="B31" s="17">
        <f t="shared" si="0"/>
        <v>24</v>
      </c>
      <c r="C31" s="23" t="s">
        <v>20</v>
      </c>
      <c r="D31" s="20" t="s">
        <v>47</v>
      </c>
      <c r="E31" s="20" t="s">
        <v>85</v>
      </c>
      <c r="F31" s="20" t="s">
        <v>121</v>
      </c>
      <c r="G31" s="20" t="s">
        <v>142</v>
      </c>
      <c r="H31" s="20" t="s">
        <v>175</v>
      </c>
      <c r="I31" s="64" t="s">
        <v>298</v>
      </c>
      <c r="J31" s="20" t="s">
        <v>205</v>
      </c>
      <c r="K31" s="20" t="s">
        <v>229</v>
      </c>
      <c r="L31" s="20">
        <v>1</v>
      </c>
      <c r="M31" s="14" t="s">
        <v>259</v>
      </c>
      <c r="N31" s="47" t="s">
        <v>257</v>
      </c>
      <c r="O31" s="21" t="s">
        <v>285</v>
      </c>
      <c r="P31" s="15">
        <f t="shared" si="1"/>
        <v>0.62</v>
      </c>
      <c r="Q31" s="20"/>
    </row>
    <row r="32" spans="1:17" ht="24">
      <c r="A32" s="1"/>
      <c r="B32" s="16">
        <f>ROW(B32) - ROW($B$7)</f>
        <v>25</v>
      </c>
      <c r="C32" s="22" t="s">
        <v>21</v>
      </c>
      <c r="D32" s="42" t="s">
        <v>48</v>
      </c>
      <c r="E32" s="42" t="s">
        <v>86</v>
      </c>
      <c r="F32" s="42" t="s">
        <v>122</v>
      </c>
      <c r="G32" s="42" t="s">
        <v>122</v>
      </c>
      <c r="H32" s="42" t="s">
        <v>176</v>
      </c>
      <c r="I32" s="42" t="s">
        <v>249</v>
      </c>
      <c r="J32" s="42" t="s">
        <v>206</v>
      </c>
      <c r="K32" s="42" t="s">
        <v>231</v>
      </c>
      <c r="L32" s="42">
        <v>2</v>
      </c>
      <c r="M32" s="42" t="s">
        <v>262</v>
      </c>
      <c r="N32" s="47" t="s">
        <v>249</v>
      </c>
      <c r="O32" s="43" t="s">
        <v>249</v>
      </c>
      <c r="P32" s="15" t="s">
        <v>249</v>
      </c>
      <c r="Q32" s="44" t="s">
        <v>250</v>
      </c>
    </row>
    <row r="33" spans="1:17">
      <c r="A33" s="1"/>
      <c r="B33" s="17">
        <f t="shared" si="0"/>
        <v>26</v>
      </c>
      <c r="C33" s="23" t="s">
        <v>19</v>
      </c>
      <c r="D33" s="20" t="s">
        <v>49</v>
      </c>
      <c r="E33" s="20" t="s">
        <v>87</v>
      </c>
      <c r="F33" s="20" t="s">
        <v>119</v>
      </c>
      <c r="G33" s="20" t="s">
        <v>143</v>
      </c>
      <c r="H33" s="20" t="s">
        <v>158</v>
      </c>
      <c r="I33" s="64" t="s">
        <v>298</v>
      </c>
      <c r="J33" s="20" t="s">
        <v>207</v>
      </c>
      <c r="K33" s="20" t="s">
        <v>232</v>
      </c>
      <c r="L33" s="20">
        <v>1</v>
      </c>
      <c r="M33" s="14" t="s">
        <v>259</v>
      </c>
      <c r="N33" s="47" t="s">
        <v>257</v>
      </c>
      <c r="O33" s="21" t="s">
        <v>286</v>
      </c>
      <c r="P33" s="15">
        <f t="shared" si="1"/>
        <v>0.21</v>
      </c>
      <c r="Q33" s="20"/>
    </row>
    <row r="34" spans="1:17">
      <c r="A34" s="1"/>
      <c r="B34" s="16">
        <f>ROW(B34) - ROW($B$7)</f>
        <v>27</v>
      </c>
      <c r="C34" s="22" t="s">
        <v>20</v>
      </c>
      <c r="D34" s="14" t="s">
        <v>50</v>
      </c>
      <c r="E34" s="14" t="s">
        <v>88</v>
      </c>
      <c r="F34" s="14" t="s">
        <v>123</v>
      </c>
      <c r="G34" s="14" t="s">
        <v>144</v>
      </c>
      <c r="H34" s="14" t="s">
        <v>158</v>
      </c>
      <c r="I34" s="64" t="s">
        <v>298</v>
      </c>
      <c r="J34" s="14" t="s">
        <v>208</v>
      </c>
      <c r="K34" s="14" t="s">
        <v>233</v>
      </c>
      <c r="L34" s="14">
        <v>1</v>
      </c>
      <c r="M34" s="14" t="s">
        <v>262</v>
      </c>
      <c r="N34" s="47" t="s">
        <v>257</v>
      </c>
      <c r="O34" s="15" t="s">
        <v>287</v>
      </c>
      <c r="P34" s="15">
        <f t="shared" si="1"/>
        <v>0.42999999999999994</v>
      </c>
      <c r="Q34" s="14"/>
    </row>
    <row r="35" spans="1:17">
      <c r="A35" s="1"/>
      <c r="B35" s="17">
        <f t="shared" si="0"/>
        <v>28</v>
      </c>
      <c r="C35" s="23" t="s">
        <v>19</v>
      </c>
      <c r="D35" s="20" t="s">
        <v>51</v>
      </c>
      <c r="E35" s="20" t="s">
        <v>89</v>
      </c>
      <c r="F35" s="20" t="s">
        <v>124</v>
      </c>
      <c r="G35" s="20" t="s">
        <v>145</v>
      </c>
      <c r="H35" s="20" t="s">
        <v>158</v>
      </c>
      <c r="I35" s="64" t="s">
        <v>298</v>
      </c>
      <c r="J35" s="20" t="s">
        <v>209</v>
      </c>
      <c r="K35" s="20" t="s">
        <v>229</v>
      </c>
      <c r="L35" s="20">
        <v>1</v>
      </c>
      <c r="M35" s="14" t="s">
        <v>260</v>
      </c>
      <c r="N35" s="47" t="s">
        <v>257</v>
      </c>
      <c r="O35" s="21" t="s">
        <v>288</v>
      </c>
      <c r="P35" s="15">
        <f t="shared" si="1"/>
        <v>0.55999999999999994</v>
      </c>
      <c r="Q35" s="20"/>
    </row>
    <row r="36" spans="1:17" ht="36">
      <c r="A36" s="1"/>
      <c r="B36" s="16">
        <f>ROW(B36) - ROW($B$7)</f>
        <v>29</v>
      </c>
      <c r="C36" s="22" t="s">
        <v>20</v>
      </c>
      <c r="D36" s="14" t="s">
        <v>52</v>
      </c>
      <c r="E36" s="14" t="s">
        <v>90</v>
      </c>
      <c r="F36" s="14" t="s">
        <v>121</v>
      </c>
      <c r="G36" s="14" t="s">
        <v>146</v>
      </c>
      <c r="H36" s="14" t="s">
        <v>177</v>
      </c>
      <c r="I36" s="64" t="s">
        <v>298</v>
      </c>
      <c r="J36" s="14" t="s">
        <v>210</v>
      </c>
      <c r="K36" s="14" t="s">
        <v>234</v>
      </c>
      <c r="L36" s="14">
        <v>1</v>
      </c>
      <c r="M36" s="14" t="s">
        <v>260</v>
      </c>
      <c r="N36" s="47" t="s">
        <v>257</v>
      </c>
      <c r="O36" s="15" t="s">
        <v>289</v>
      </c>
      <c r="P36" s="15">
        <f t="shared" si="1"/>
        <v>0.47499999999999998</v>
      </c>
      <c r="Q36" s="14"/>
    </row>
    <row r="37" spans="1:17">
      <c r="A37" s="1"/>
      <c r="B37" s="17">
        <f t="shared" si="0"/>
        <v>30</v>
      </c>
      <c r="C37" s="23" t="s">
        <v>19</v>
      </c>
      <c r="D37" s="20" t="s">
        <v>53</v>
      </c>
      <c r="E37" s="20" t="s">
        <v>91</v>
      </c>
      <c r="F37" s="20" t="s">
        <v>120</v>
      </c>
      <c r="G37" s="20" t="s">
        <v>147</v>
      </c>
      <c r="H37" s="20" t="s">
        <v>158</v>
      </c>
      <c r="I37" s="64" t="s">
        <v>298</v>
      </c>
      <c r="J37" s="20" t="s">
        <v>211</v>
      </c>
      <c r="K37" s="20" t="s">
        <v>235</v>
      </c>
      <c r="L37" s="20">
        <v>1</v>
      </c>
      <c r="M37" s="14" t="s">
        <v>261</v>
      </c>
      <c r="N37" s="47" t="s">
        <v>257</v>
      </c>
      <c r="O37" s="21" t="s">
        <v>290</v>
      </c>
      <c r="P37" s="15">
        <f t="shared" si="1"/>
        <v>0.41399999999999998</v>
      </c>
      <c r="Q37" s="20"/>
    </row>
    <row r="38" spans="1:17">
      <c r="A38" s="1"/>
      <c r="B38" s="16">
        <f>ROW(B38) - ROW($B$7)</f>
        <v>31</v>
      </c>
      <c r="C38" s="23" t="s">
        <v>19</v>
      </c>
      <c r="D38" s="14" t="s">
        <v>54</v>
      </c>
      <c r="E38" s="14" t="s">
        <v>92</v>
      </c>
      <c r="F38" s="14" t="s">
        <v>120</v>
      </c>
      <c r="G38" s="14" t="s">
        <v>148</v>
      </c>
      <c r="H38" s="14" t="s">
        <v>158</v>
      </c>
      <c r="I38" s="64" t="s">
        <v>298</v>
      </c>
      <c r="J38" s="14" t="s">
        <v>212</v>
      </c>
      <c r="K38" s="14" t="s">
        <v>236</v>
      </c>
      <c r="L38" s="14">
        <v>1</v>
      </c>
      <c r="M38" s="14" t="s">
        <v>259</v>
      </c>
      <c r="N38" s="47" t="s">
        <v>257</v>
      </c>
      <c r="O38" s="15" t="s">
        <v>291</v>
      </c>
      <c r="P38" s="15">
        <f t="shared" si="1"/>
        <v>0.11</v>
      </c>
      <c r="Q38" s="14"/>
    </row>
    <row r="39" spans="1:17">
      <c r="A39" s="1"/>
      <c r="B39" s="17">
        <f t="shared" si="0"/>
        <v>32</v>
      </c>
      <c r="C39" s="23" t="s">
        <v>19</v>
      </c>
      <c r="D39" s="20" t="s">
        <v>55</v>
      </c>
      <c r="E39" s="20" t="s">
        <v>93</v>
      </c>
      <c r="F39" s="20" t="s">
        <v>120</v>
      </c>
      <c r="G39" s="20" t="s">
        <v>149</v>
      </c>
      <c r="H39" s="20" t="s">
        <v>158</v>
      </c>
      <c r="I39" s="64" t="s">
        <v>298</v>
      </c>
      <c r="J39" s="20" t="s">
        <v>213</v>
      </c>
      <c r="K39" s="20" t="s">
        <v>234</v>
      </c>
      <c r="L39" s="20">
        <v>2</v>
      </c>
      <c r="M39" s="14" t="s">
        <v>259</v>
      </c>
      <c r="N39" s="47" t="s">
        <v>257</v>
      </c>
      <c r="O39" s="21" t="s">
        <v>291</v>
      </c>
      <c r="P39" s="15">
        <f t="shared" si="1"/>
        <v>0.11</v>
      </c>
      <c r="Q39" s="20"/>
    </row>
    <row r="40" spans="1:17">
      <c r="A40" s="1"/>
      <c r="B40" s="16">
        <f>ROW(B40) - ROW($B$7)</f>
        <v>33</v>
      </c>
      <c r="C40" s="22" t="s">
        <v>19</v>
      </c>
      <c r="D40" s="14" t="s">
        <v>56</v>
      </c>
      <c r="E40" s="14" t="s">
        <v>94</v>
      </c>
      <c r="F40" s="14" t="s">
        <v>120</v>
      </c>
      <c r="G40" s="14" t="s">
        <v>150</v>
      </c>
      <c r="H40" s="14" t="s">
        <v>158</v>
      </c>
      <c r="I40" s="64" t="s">
        <v>298</v>
      </c>
      <c r="J40" s="14" t="s">
        <v>214</v>
      </c>
      <c r="K40" s="14" t="s">
        <v>237</v>
      </c>
      <c r="L40" s="14">
        <v>1</v>
      </c>
      <c r="M40" s="14" t="s">
        <v>261</v>
      </c>
      <c r="N40" s="47" t="s">
        <v>257</v>
      </c>
      <c r="O40" s="15" t="s">
        <v>292</v>
      </c>
      <c r="P40" s="15">
        <f t="shared" si="1"/>
        <v>0.504</v>
      </c>
      <c r="Q40" s="14"/>
    </row>
    <row r="41" spans="1:17" ht="24">
      <c r="A41" s="1"/>
      <c r="B41" s="17">
        <f t="shared" si="0"/>
        <v>34</v>
      </c>
      <c r="C41" s="23" t="s">
        <v>22</v>
      </c>
      <c r="D41" s="20" t="s">
        <v>57</v>
      </c>
      <c r="E41" s="20" t="s">
        <v>95</v>
      </c>
      <c r="F41" s="20" t="s">
        <v>125</v>
      </c>
      <c r="G41" s="20" t="s">
        <v>151</v>
      </c>
      <c r="H41" s="20" t="s">
        <v>178</v>
      </c>
      <c r="I41" s="64" t="s">
        <v>298</v>
      </c>
      <c r="J41" s="20" t="s">
        <v>215</v>
      </c>
      <c r="K41" s="20" t="s">
        <v>249</v>
      </c>
      <c r="L41" s="20">
        <v>1</v>
      </c>
      <c r="M41" s="14" t="s">
        <v>258</v>
      </c>
      <c r="N41" s="47" t="s">
        <v>257</v>
      </c>
      <c r="O41" s="21" t="s">
        <v>293</v>
      </c>
      <c r="P41" s="15">
        <f t="shared" si="1"/>
        <v>0.74350000000000005</v>
      </c>
      <c r="Q41" s="20"/>
    </row>
    <row r="42" spans="1:17" s="55" customFormat="1">
      <c r="A42" s="48"/>
      <c r="B42" s="49">
        <f>ROW(B42) - ROW($B$7)</f>
        <v>35</v>
      </c>
      <c r="C42" s="50" t="s">
        <v>22</v>
      </c>
      <c r="D42" s="51" t="s">
        <v>58</v>
      </c>
      <c r="E42" s="51" t="s">
        <v>96</v>
      </c>
      <c r="F42" s="51" t="s">
        <v>126</v>
      </c>
      <c r="G42" s="51" t="s">
        <v>152</v>
      </c>
      <c r="H42" s="51" t="s">
        <v>179</v>
      </c>
      <c r="I42" s="64" t="s">
        <v>298</v>
      </c>
      <c r="J42" s="51" t="s">
        <v>216</v>
      </c>
      <c r="K42" s="52" t="s">
        <v>249</v>
      </c>
      <c r="L42" s="51">
        <v>1</v>
      </c>
      <c r="M42" s="51" t="s">
        <v>258</v>
      </c>
      <c r="N42" s="53" t="s">
        <v>257</v>
      </c>
      <c r="O42" s="54" t="s">
        <v>294</v>
      </c>
      <c r="P42" s="54">
        <f t="shared" si="1"/>
        <v>1.2755000000000001</v>
      </c>
      <c r="Q42" s="51"/>
    </row>
    <row r="43" spans="1:17" s="46" customFormat="1">
      <c r="A43" s="45"/>
      <c r="B43" s="17">
        <f t="shared" si="0"/>
        <v>36</v>
      </c>
      <c r="C43" s="23" t="s">
        <v>22</v>
      </c>
      <c r="D43" s="20" t="s">
        <v>59</v>
      </c>
      <c r="E43" s="20" t="s">
        <v>97</v>
      </c>
      <c r="F43" s="20" t="s">
        <v>127</v>
      </c>
      <c r="G43" s="20" t="s">
        <v>153</v>
      </c>
      <c r="H43" s="20" t="s">
        <v>180</v>
      </c>
      <c r="I43" s="64" t="s">
        <v>298</v>
      </c>
      <c r="J43" s="20" t="s">
        <v>217</v>
      </c>
      <c r="K43" s="20" t="s">
        <v>249</v>
      </c>
      <c r="L43" s="20">
        <v>1</v>
      </c>
      <c r="M43" s="14">
        <v>2</v>
      </c>
      <c r="N43" s="47" t="s">
        <v>257</v>
      </c>
      <c r="O43" s="21" t="s">
        <v>295</v>
      </c>
      <c r="P43" s="15">
        <f t="shared" si="1"/>
        <v>0.95379999999999998</v>
      </c>
      <c r="Q43" s="20"/>
    </row>
    <row r="44" spans="1:17" s="46" customFormat="1">
      <c r="A44" s="45"/>
      <c r="B44" s="17">
        <f t="shared" si="0"/>
        <v>37</v>
      </c>
      <c r="C44" s="22" t="s">
        <v>22</v>
      </c>
      <c r="D44" s="14" t="s">
        <v>60</v>
      </c>
      <c r="E44" s="14" t="s">
        <v>98</v>
      </c>
      <c r="F44" s="14" t="s">
        <v>128</v>
      </c>
      <c r="G44" s="14" t="s">
        <v>154</v>
      </c>
      <c r="H44" s="14" t="s">
        <v>171</v>
      </c>
      <c r="I44" s="64" t="s">
        <v>298</v>
      </c>
      <c r="J44" s="14" t="s">
        <v>218</v>
      </c>
      <c r="K44" s="20" t="s">
        <v>249</v>
      </c>
      <c r="L44" s="14">
        <v>1</v>
      </c>
      <c r="M44" s="14">
        <v>2</v>
      </c>
      <c r="N44" s="47" t="s">
        <v>257</v>
      </c>
      <c r="O44" s="15" t="s">
        <v>296</v>
      </c>
      <c r="P44" s="15">
        <f>O44*M44</f>
        <v>0.95420000000000005</v>
      </c>
      <c r="Q44" s="14"/>
    </row>
    <row r="45" spans="1:17" s="46" customFormat="1" ht="24.75">
      <c r="A45" s="45"/>
      <c r="B45" s="17">
        <f t="shared" si="0"/>
        <v>38</v>
      </c>
      <c r="C45" s="22" t="s">
        <v>299</v>
      </c>
      <c r="D45" s="14" t="s">
        <v>249</v>
      </c>
      <c r="E45" s="65" t="s">
        <v>301</v>
      </c>
      <c r="F45" s="14" t="s">
        <v>249</v>
      </c>
      <c r="G45" s="14" t="s">
        <v>302</v>
      </c>
      <c r="H45" s="14" t="s">
        <v>249</v>
      </c>
      <c r="I45" s="64" t="s">
        <v>298</v>
      </c>
      <c r="J45" s="14" t="s">
        <v>249</v>
      </c>
      <c r="K45" s="20" t="s">
        <v>249</v>
      </c>
      <c r="L45" s="14">
        <v>1</v>
      </c>
      <c r="M45" s="14">
        <v>1</v>
      </c>
      <c r="N45" s="47" t="s">
        <v>300</v>
      </c>
      <c r="O45" s="15">
        <v>3.97</v>
      </c>
      <c r="P45" s="15">
        <f t="shared" ref="P45:P48" si="2">O45*M45</f>
        <v>3.97</v>
      </c>
      <c r="Q45" s="14"/>
    </row>
    <row r="46" spans="1:17" s="46" customFormat="1" ht="48">
      <c r="A46" s="45"/>
      <c r="B46" s="17">
        <f t="shared" si="0"/>
        <v>39</v>
      </c>
      <c r="C46" s="22" t="s">
        <v>299</v>
      </c>
      <c r="D46" s="14" t="s">
        <v>249</v>
      </c>
      <c r="E46" s="14" t="s">
        <v>303</v>
      </c>
      <c r="F46" s="14" t="s">
        <v>249</v>
      </c>
      <c r="G46" s="14" t="s">
        <v>304</v>
      </c>
      <c r="H46" s="14" t="s">
        <v>249</v>
      </c>
      <c r="I46" s="64" t="s">
        <v>298</v>
      </c>
      <c r="J46" s="14" t="s">
        <v>249</v>
      </c>
      <c r="K46" s="20" t="s">
        <v>249</v>
      </c>
      <c r="L46" s="14">
        <v>1</v>
      </c>
      <c r="M46" s="14">
        <v>1</v>
      </c>
      <c r="N46" s="47" t="s">
        <v>300</v>
      </c>
      <c r="O46" s="15">
        <v>1.1499999999999999</v>
      </c>
      <c r="P46" s="15">
        <f t="shared" si="2"/>
        <v>1.1499999999999999</v>
      </c>
      <c r="Q46" s="14"/>
    </row>
    <row r="47" spans="1:17" s="46" customFormat="1" ht="48">
      <c r="A47" s="45"/>
      <c r="B47" s="17">
        <f t="shared" si="0"/>
        <v>40</v>
      </c>
      <c r="C47" s="22" t="s">
        <v>299</v>
      </c>
      <c r="D47" s="14" t="s">
        <v>249</v>
      </c>
      <c r="E47" s="14" t="s">
        <v>306</v>
      </c>
      <c r="F47" s="14" t="s">
        <v>249</v>
      </c>
      <c r="G47" s="14" t="s">
        <v>305</v>
      </c>
      <c r="H47" s="14" t="s">
        <v>249</v>
      </c>
      <c r="I47" s="64" t="s">
        <v>298</v>
      </c>
      <c r="J47" s="14" t="s">
        <v>249</v>
      </c>
      <c r="K47" s="20" t="s">
        <v>249</v>
      </c>
      <c r="L47" s="14">
        <v>1</v>
      </c>
      <c r="M47" s="14">
        <v>1</v>
      </c>
      <c r="N47" s="47" t="s">
        <v>300</v>
      </c>
      <c r="O47" s="15">
        <v>8.59</v>
      </c>
      <c r="P47" s="15">
        <f t="shared" si="2"/>
        <v>8.59</v>
      </c>
      <c r="Q47" s="14"/>
    </row>
    <row r="48" spans="1:17" ht="36.75" thickBot="1">
      <c r="A48" s="1"/>
      <c r="B48" s="17">
        <f t="shared" si="0"/>
        <v>41</v>
      </c>
      <c r="C48" s="22" t="s">
        <v>299</v>
      </c>
      <c r="D48" s="14" t="s">
        <v>249</v>
      </c>
      <c r="E48" s="14" t="s">
        <v>308</v>
      </c>
      <c r="F48" s="14" t="s">
        <v>249</v>
      </c>
      <c r="G48" s="14" t="s">
        <v>307</v>
      </c>
      <c r="H48" s="14" t="s">
        <v>249</v>
      </c>
      <c r="I48" s="64" t="s">
        <v>298</v>
      </c>
      <c r="J48" s="14" t="s">
        <v>249</v>
      </c>
      <c r="K48" s="20" t="s">
        <v>249</v>
      </c>
      <c r="L48" s="14">
        <v>1</v>
      </c>
      <c r="M48" s="14">
        <v>1</v>
      </c>
      <c r="N48" s="47" t="s">
        <v>300</v>
      </c>
      <c r="O48" s="15">
        <v>1.1100000000000001</v>
      </c>
      <c r="P48" s="15">
        <f t="shared" si="2"/>
        <v>1.1100000000000001</v>
      </c>
      <c r="Q48" s="14"/>
    </row>
    <row r="49" spans="1:17" ht="19.5" thickBo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57" t="s">
        <v>3</v>
      </c>
      <c r="O49" s="58"/>
      <c r="P49" s="18">
        <f>SUM(P8:P48)</f>
        <v>34.505699999999997</v>
      </c>
      <c r="Q49" s="1"/>
    </row>
    <row r="50" spans="1:1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62" spans="1:17">
      <c r="M62" s="38"/>
    </row>
  </sheetData>
  <mergeCells count="2">
    <mergeCell ref="K1:Q1"/>
    <mergeCell ref="N49:O49"/>
  </mergeCells>
  <hyperlinks>
    <hyperlink ref="N8" r:id="rId1"/>
    <hyperlink ref="N9" r:id="rId2"/>
    <hyperlink ref="N10" r:id="rId3"/>
    <hyperlink ref="N11" r:id="rId4"/>
    <hyperlink ref="N12" r:id="rId5"/>
    <hyperlink ref="N13" r:id="rId6"/>
    <hyperlink ref="N14" r:id="rId7"/>
    <hyperlink ref="N15" r:id="rId8"/>
    <hyperlink ref="N16" r:id="rId9"/>
    <hyperlink ref="N17" r:id="rId10"/>
    <hyperlink ref="N18" r:id="rId11"/>
    <hyperlink ref="N19" r:id="rId12"/>
    <hyperlink ref="N20" r:id="rId13"/>
    <hyperlink ref="N21" r:id="rId14"/>
    <hyperlink ref="N22" r:id="rId15"/>
    <hyperlink ref="N23" r:id="rId16"/>
    <hyperlink ref="N24" r:id="rId17"/>
    <hyperlink ref="N25" r:id="rId18"/>
    <hyperlink ref="N26" r:id="rId19"/>
    <hyperlink ref="N27" r:id="rId20"/>
    <hyperlink ref="N28" r:id="rId21"/>
    <hyperlink ref="N29" r:id="rId22"/>
    <hyperlink ref="N30" r:id="rId23"/>
    <hyperlink ref="N31" r:id="rId24"/>
    <hyperlink ref="N32" r:id="rId25" display="LCSC"/>
    <hyperlink ref="N33" r:id="rId26"/>
    <hyperlink ref="N34" r:id="rId27"/>
    <hyperlink ref="N35" r:id="rId28"/>
    <hyperlink ref="N36" r:id="rId29"/>
    <hyperlink ref="N37" r:id="rId30"/>
    <hyperlink ref="N38" r:id="rId31"/>
    <hyperlink ref="N39" r:id="rId32"/>
    <hyperlink ref="N40" r:id="rId33"/>
    <hyperlink ref="N41" r:id="rId34"/>
    <hyperlink ref="N42" r:id="rId35"/>
    <hyperlink ref="N43" r:id="rId36"/>
    <hyperlink ref="N44" r:id="rId37"/>
    <hyperlink ref="N45" r:id="rId38"/>
    <hyperlink ref="N46" r:id="rId39"/>
    <hyperlink ref="N47" r:id="rId40"/>
    <hyperlink ref="N48" r:id="rId41"/>
  </hyperlinks>
  <pageMargins left="0.7" right="0.7" top="0.75" bottom="0.75" header="0.3" footer="0.3"/>
  <pageSetup paperSize="9" orientation="portrait" r:id="rId4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"/>
  <sheetViews>
    <sheetView topLeftCell="D29" workbookViewId="0">
      <selection activeCell="Q50" sqref="Q50"/>
    </sheetView>
  </sheetViews>
  <sheetFormatPr defaultRowHeight="15"/>
  <cols>
    <col min="2" max="2" width="3" bestFit="1" customWidth="1"/>
    <col min="3" max="3" width="14.140625" customWidth="1"/>
    <col min="4" max="4" width="31.140625" bestFit="1" customWidth="1"/>
    <col min="5" max="5" width="29.140625" customWidth="1"/>
    <col min="6" max="6" width="16" customWidth="1"/>
    <col min="7" max="7" width="25.28515625" bestFit="1" customWidth="1"/>
    <col min="8" max="8" width="16.57031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7.57031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13.140625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6"/>
      <c r="L1" s="56"/>
      <c r="M1" s="56"/>
      <c r="N1" s="56"/>
      <c r="O1" s="56"/>
      <c r="P1" s="56"/>
      <c r="Q1" s="56"/>
      <c r="R1" s="56"/>
    </row>
    <row r="2" spans="1:18" ht="32.25" thickBot="1">
      <c r="A2" s="1"/>
      <c r="B2" s="7"/>
      <c r="C2" s="13"/>
      <c r="D2" s="4" t="s">
        <v>0</v>
      </c>
      <c r="E2" s="4"/>
      <c r="F2" s="40" t="s">
        <v>239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240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23</v>
      </c>
      <c r="E7" s="12" t="s">
        <v>61</v>
      </c>
      <c r="F7" s="12" t="s">
        <v>99</v>
      </c>
      <c r="G7" s="12" t="s">
        <v>129</v>
      </c>
      <c r="H7" s="12" t="s">
        <v>155</v>
      </c>
      <c r="I7" s="12" t="s">
        <v>241</v>
      </c>
      <c r="J7" s="12" t="s">
        <v>181</v>
      </c>
      <c r="K7" s="12" t="s">
        <v>242</v>
      </c>
      <c r="L7" s="12" t="s">
        <v>238</v>
      </c>
      <c r="M7" s="12" t="s">
        <v>253</v>
      </c>
      <c r="N7" s="12" t="s">
        <v>254</v>
      </c>
      <c r="O7" s="12" t="s">
        <v>244</v>
      </c>
      <c r="P7" s="12" t="s">
        <v>255</v>
      </c>
      <c r="Q7" s="12" t="s">
        <v>256</v>
      </c>
      <c r="R7" s="12" t="s">
        <v>247</v>
      </c>
    </row>
    <row r="8" spans="1:18" s="46" customFormat="1" ht="48">
      <c r="A8" s="45"/>
      <c r="B8" s="16">
        <f>ROW(B8) - ROW($B$7)</f>
        <v>1</v>
      </c>
      <c r="C8" s="22" t="s">
        <v>6</v>
      </c>
      <c r="D8" s="14" t="s">
        <v>24</v>
      </c>
      <c r="E8" s="14" t="s">
        <v>62</v>
      </c>
      <c r="F8" s="14" t="s">
        <v>248</v>
      </c>
      <c r="G8" s="14" t="s">
        <v>100</v>
      </c>
      <c r="H8" s="14" t="s">
        <v>156</v>
      </c>
      <c r="I8" s="64" t="s">
        <v>298</v>
      </c>
      <c r="J8" s="14" t="s">
        <v>182</v>
      </c>
      <c r="K8" s="14" t="s">
        <v>219</v>
      </c>
      <c r="L8" s="14">
        <v>1</v>
      </c>
      <c r="M8" s="14">
        <f>L8*3</f>
        <v>3</v>
      </c>
      <c r="N8" s="14" t="s">
        <v>258</v>
      </c>
      <c r="O8" s="47" t="s">
        <v>257</v>
      </c>
      <c r="P8" s="15" t="s">
        <v>263</v>
      </c>
      <c r="Q8" s="15">
        <f>P8*N8</f>
        <v>0.75800000000000001</v>
      </c>
      <c r="R8" s="14"/>
    </row>
    <row r="9" spans="1:18" s="46" customFormat="1" ht="36">
      <c r="A9" s="45"/>
      <c r="B9" s="17">
        <f t="shared" ref="B9:B43" si="0">ROW(B9) - ROW($B$7)</f>
        <v>2</v>
      </c>
      <c r="C9" s="23" t="s">
        <v>7</v>
      </c>
      <c r="D9" s="20" t="s">
        <v>25</v>
      </c>
      <c r="E9" s="20" t="s">
        <v>63</v>
      </c>
      <c r="F9" s="20" t="s">
        <v>101</v>
      </c>
      <c r="G9" s="20" t="s">
        <v>130</v>
      </c>
      <c r="H9" s="20" t="s">
        <v>157</v>
      </c>
      <c r="I9" s="64" t="s">
        <v>298</v>
      </c>
      <c r="J9" s="20" t="s">
        <v>183</v>
      </c>
      <c r="K9" s="20" t="s">
        <v>220</v>
      </c>
      <c r="L9" s="20">
        <v>2</v>
      </c>
      <c r="M9" s="14">
        <f t="shared" ref="M9:M48" si="1">L9*3</f>
        <v>6</v>
      </c>
      <c r="N9" s="14" t="s">
        <v>259</v>
      </c>
      <c r="O9" s="47" t="s">
        <v>257</v>
      </c>
      <c r="P9" s="21" t="s">
        <v>264</v>
      </c>
      <c r="Q9" s="15">
        <f t="shared" ref="Q9:Q48" si="2">P9*N9</f>
        <v>0.38999999999999996</v>
      </c>
      <c r="R9" s="20"/>
    </row>
    <row r="10" spans="1:18" s="46" customFormat="1" ht="48">
      <c r="A10" s="45"/>
      <c r="B10" s="16">
        <f>ROW(B10) - ROW($B$7)</f>
        <v>3</v>
      </c>
      <c r="C10" s="22" t="s">
        <v>6</v>
      </c>
      <c r="D10" s="14" t="s">
        <v>26</v>
      </c>
      <c r="E10" s="14" t="s">
        <v>64</v>
      </c>
      <c r="F10" s="14" t="s">
        <v>248</v>
      </c>
      <c r="G10" s="14" t="s">
        <v>102</v>
      </c>
      <c r="H10" s="14" t="s">
        <v>156</v>
      </c>
      <c r="I10" s="64" t="s">
        <v>298</v>
      </c>
      <c r="J10" s="14" t="s">
        <v>184</v>
      </c>
      <c r="K10" s="14" t="s">
        <v>221</v>
      </c>
      <c r="L10" s="14">
        <v>1</v>
      </c>
      <c r="M10" s="14">
        <f t="shared" si="1"/>
        <v>3</v>
      </c>
      <c r="N10" s="14" t="s">
        <v>258</v>
      </c>
      <c r="O10" s="47" t="s">
        <v>257</v>
      </c>
      <c r="P10" s="15" t="s">
        <v>265</v>
      </c>
      <c r="Q10" s="15">
        <f t="shared" si="2"/>
        <v>0.43999999999999995</v>
      </c>
      <c r="R10" s="14"/>
    </row>
    <row r="11" spans="1:18" s="46" customFormat="1">
      <c r="A11" s="45"/>
      <c r="B11" s="17">
        <f t="shared" si="0"/>
        <v>4</v>
      </c>
      <c r="C11" s="23" t="s">
        <v>7</v>
      </c>
      <c r="D11" s="20" t="s">
        <v>27</v>
      </c>
      <c r="E11" s="20" t="s">
        <v>65</v>
      </c>
      <c r="F11" s="20" t="s">
        <v>103</v>
      </c>
      <c r="G11" s="20" t="s">
        <v>131</v>
      </c>
      <c r="H11" s="20" t="s">
        <v>158</v>
      </c>
      <c r="I11" s="64" t="s">
        <v>298</v>
      </c>
      <c r="J11" s="20" t="s">
        <v>185</v>
      </c>
      <c r="K11" s="20" t="s">
        <v>222</v>
      </c>
      <c r="L11" s="20">
        <v>1</v>
      </c>
      <c r="M11" s="14">
        <f t="shared" si="1"/>
        <v>3</v>
      </c>
      <c r="N11" s="14" t="s">
        <v>260</v>
      </c>
      <c r="O11" s="47" t="s">
        <v>257</v>
      </c>
      <c r="P11" s="21" t="s">
        <v>266</v>
      </c>
      <c r="Q11" s="15">
        <f t="shared" si="2"/>
        <v>0.85499999999999998</v>
      </c>
      <c r="R11" s="20"/>
    </row>
    <row r="12" spans="1:18" s="46" customFormat="1" ht="24">
      <c r="A12" s="45"/>
      <c r="B12" s="16">
        <f>ROW(B12) - ROW($B$7)</f>
        <v>5</v>
      </c>
      <c r="C12" s="22" t="s">
        <v>7</v>
      </c>
      <c r="D12" s="14" t="s">
        <v>28</v>
      </c>
      <c r="E12" s="14" t="s">
        <v>66</v>
      </c>
      <c r="F12" s="14" t="s">
        <v>248</v>
      </c>
      <c r="G12" s="14" t="s">
        <v>104</v>
      </c>
      <c r="H12" s="14" t="s">
        <v>159</v>
      </c>
      <c r="I12" s="64" t="s">
        <v>298</v>
      </c>
      <c r="J12" s="14" t="s">
        <v>186</v>
      </c>
      <c r="K12" s="14" t="s">
        <v>223</v>
      </c>
      <c r="L12" s="14">
        <v>1</v>
      </c>
      <c r="M12" s="14">
        <f t="shared" si="1"/>
        <v>3</v>
      </c>
      <c r="N12" s="14" t="s">
        <v>261</v>
      </c>
      <c r="O12" s="47" t="s">
        <v>257</v>
      </c>
      <c r="P12" s="15" t="s">
        <v>267</v>
      </c>
      <c r="Q12" s="15">
        <f t="shared" si="2"/>
        <v>0.52600000000000002</v>
      </c>
      <c r="R12" s="14"/>
    </row>
    <row r="13" spans="1:18" s="46" customFormat="1">
      <c r="A13" s="45"/>
      <c r="B13" s="17">
        <f t="shared" si="0"/>
        <v>6</v>
      </c>
      <c r="C13" s="23" t="s">
        <v>7</v>
      </c>
      <c r="D13" s="20" t="s">
        <v>29</v>
      </c>
      <c r="E13" s="20" t="s">
        <v>67</v>
      </c>
      <c r="F13" s="20" t="s">
        <v>105</v>
      </c>
      <c r="G13" s="20" t="s">
        <v>132</v>
      </c>
      <c r="H13" s="20" t="s">
        <v>160</v>
      </c>
      <c r="I13" s="64" t="s">
        <v>298</v>
      </c>
      <c r="J13" s="20" t="s">
        <v>187</v>
      </c>
      <c r="K13" s="20" t="s">
        <v>224</v>
      </c>
      <c r="L13" s="20">
        <v>1</v>
      </c>
      <c r="M13" s="14">
        <f t="shared" si="1"/>
        <v>3</v>
      </c>
      <c r="N13" s="14">
        <v>4</v>
      </c>
      <c r="O13" s="47" t="s">
        <v>257</v>
      </c>
      <c r="P13" s="21" t="s">
        <v>268</v>
      </c>
      <c r="Q13" s="15">
        <f t="shared" si="2"/>
        <v>1.7844</v>
      </c>
      <c r="R13" s="20"/>
    </row>
    <row r="14" spans="1:18" s="46" customFormat="1">
      <c r="A14" s="45"/>
      <c r="B14" s="16">
        <f>ROW(B14) - ROW($B$7)</f>
        <v>7</v>
      </c>
      <c r="C14" s="22" t="s">
        <v>7</v>
      </c>
      <c r="D14" s="14" t="s">
        <v>30</v>
      </c>
      <c r="E14" s="14" t="s">
        <v>68</v>
      </c>
      <c r="F14" s="14" t="s">
        <v>101</v>
      </c>
      <c r="G14" s="20" t="s">
        <v>251</v>
      </c>
      <c r="H14" s="20" t="s">
        <v>252</v>
      </c>
      <c r="I14" s="64" t="s">
        <v>298</v>
      </c>
      <c r="J14" s="14" t="s">
        <v>188</v>
      </c>
      <c r="K14" s="14" t="s">
        <v>225</v>
      </c>
      <c r="L14" s="14">
        <v>1</v>
      </c>
      <c r="M14" s="14">
        <f t="shared" si="1"/>
        <v>3</v>
      </c>
      <c r="N14" s="14" t="s">
        <v>261</v>
      </c>
      <c r="O14" s="47" t="s">
        <v>257</v>
      </c>
      <c r="P14" s="15" t="s">
        <v>269</v>
      </c>
      <c r="Q14" s="15">
        <f t="shared" si="2"/>
        <v>0.626</v>
      </c>
      <c r="R14" s="14"/>
    </row>
    <row r="15" spans="1:18" s="46" customFormat="1" ht="36">
      <c r="A15" s="45"/>
      <c r="B15" s="17">
        <f t="shared" si="0"/>
        <v>8</v>
      </c>
      <c r="C15" s="23" t="s">
        <v>6</v>
      </c>
      <c r="D15" s="20" t="s">
        <v>31</v>
      </c>
      <c r="E15" s="20" t="s">
        <v>69</v>
      </c>
      <c r="F15" s="14" t="s">
        <v>248</v>
      </c>
      <c r="G15" s="20" t="s">
        <v>106</v>
      </c>
      <c r="H15" s="20" t="s">
        <v>159</v>
      </c>
      <c r="I15" s="64" t="s">
        <v>298</v>
      </c>
      <c r="J15" s="20" t="s">
        <v>189</v>
      </c>
      <c r="K15" s="20" t="s">
        <v>226</v>
      </c>
      <c r="L15" s="20">
        <v>1</v>
      </c>
      <c r="M15" s="14">
        <f t="shared" si="1"/>
        <v>3</v>
      </c>
      <c r="N15" s="14" t="s">
        <v>261</v>
      </c>
      <c r="O15" s="47" t="s">
        <v>257</v>
      </c>
      <c r="P15" s="21" t="s">
        <v>270</v>
      </c>
      <c r="Q15" s="15">
        <f t="shared" si="2"/>
        <v>0.65199999999999991</v>
      </c>
      <c r="R15" s="20"/>
    </row>
    <row r="16" spans="1:18" s="46" customFormat="1">
      <c r="A16" s="45"/>
      <c r="B16" s="16">
        <f>ROW(B16) - ROW($B$7)</f>
        <v>9</v>
      </c>
      <c r="C16" s="22" t="s">
        <v>8</v>
      </c>
      <c r="D16" s="14" t="s">
        <v>32</v>
      </c>
      <c r="E16" s="14" t="s">
        <v>70</v>
      </c>
      <c r="F16" s="14" t="s">
        <v>107</v>
      </c>
      <c r="G16" s="14" t="s">
        <v>133</v>
      </c>
      <c r="H16" s="14" t="s">
        <v>161</v>
      </c>
      <c r="I16" s="64" t="s">
        <v>298</v>
      </c>
      <c r="J16" s="14" t="s">
        <v>190</v>
      </c>
      <c r="K16" s="14" t="s">
        <v>249</v>
      </c>
      <c r="L16" s="14">
        <v>2</v>
      </c>
      <c r="M16" s="14">
        <f t="shared" si="1"/>
        <v>6</v>
      </c>
      <c r="N16" s="14" t="s">
        <v>262</v>
      </c>
      <c r="O16" s="47" t="s">
        <v>257</v>
      </c>
      <c r="P16" s="15" t="s">
        <v>271</v>
      </c>
      <c r="Q16" s="15">
        <f t="shared" si="2"/>
        <v>0.59399999999999997</v>
      </c>
      <c r="R16" s="14"/>
    </row>
    <row r="17" spans="1:18" s="46" customFormat="1" ht="24">
      <c r="A17" s="45"/>
      <c r="B17" s="17">
        <f t="shared" si="0"/>
        <v>10</v>
      </c>
      <c r="C17" s="23" t="s">
        <v>9</v>
      </c>
      <c r="D17" s="20" t="s">
        <v>33</v>
      </c>
      <c r="E17" s="20" t="s">
        <v>71</v>
      </c>
      <c r="F17" s="20" t="s">
        <v>108</v>
      </c>
      <c r="G17" s="20" t="s">
        <v>134</v>
      </c>
      <c r="H17" s="20" t="s">
        <v>162</v>
      </c>
      <c r="I17" s="64" t="s">
        <v>298</v>
      </c>
      <c r="J17" s="20" t="s">
        <v>191</v>
      </c>
      <c r="K17" s="14" t="s">
        <v>249</v>
      </c>
      <c r="L17" s="20">
        <v>1</v>
      </c>
      <c r="M17" s="14">
        <f t="shared" si="1"/>
        <v>3</v>
      </c>
      <c r="N17" s="14" t="s">
        <v>258</v>
      </c>
      <c r="O17" s="47" t="s">
        <v>257</v>
      </c>
      <c r="P17" s="21" t="s">
        <v>272</v>
      </c>
      <c r="Q17" s="15">
        <f t="shared" si="2"/>
        <v>0.34349999999999997</v>
      </c>
      <c r="R17" s="20"/>
    </row>
    <row r="18" spans="1:18" s="46" customFormat="1">
      <c r="A18" s="45"/>
      <c r="B18" s="16">
        <f>ROW(B18) - ROW($B$7)</f>
        <v>11</v>
      </c>
      <c r="C18" s="22" t="s">
        <v>10</v>
      </c>
      <c r="D18" s="14" t="s">
        <v>34</v>
      </c>
      <c r="E18" s="14" t="s">
        <v>72</v>
      </c>
      <c r="F18" s="14" t="s">
        <v>248</v>
      </c>
      <c r="G18" s="14">
        <v>1715721</v>
      </c>
      <c r="H18" s="14" t="s">
        <v>163</v>
      </c>
      <c r="I18" s="64" t="s">
        <v>298</v>
      </c>
      <c r="J18" s="14" t="s">
        <v>192</v>
      </c>
      <c r="K18" s="14" t="s">
        <v>249</v>
      </c>
      <c r="L18" s="14">
        <v>1</v>
      </c>
      <c r="M18" s="14">
        <f t="shared" si="1"/>
        <v>3</v>
      </c>
      <c r="N18" s="14">
        <v>4</v>
      </c>
      <c r="O18" s="47" t="s">
        <v>257</v>
      </c>
      <c r="P18" s="15" t="s">
        <v>273</v>
      </c>
      <c r="Q18" s="15">
        <f t="shared" si="2"/>
        <v>1.4236</v>
      </c>
      <c r="R18" s="14"/>
    </row>
    <row r="19" spans="1:18" s="46" customFormat="1" ht="48">
      <c r="A19" s="45"/>
      <c r="B19" s="17">
        <f t="shared" si="0"/>
        <v>12</v>
      </c>
      <c r="C19" s="23" t="s">
        <v>11</v>
      </c>
      <c r="D19" s="20" t="s">
        <v>35</v>
      </c>
      <c r="E19" s="20" t="s">
        <v>73</v>
      </c>
      <c r="F19" s="14" t="s">
        <v>248</v>
      </c>
      <c r="G19" s="20" t="s">
        <v>109</v>
      </c>
      <c r="H19" s="20" t="s">
        <v>164</v>
      </c>
      <c r="I19" s="64" t="s">
        <v>298</v>
      </c>
      <c r="J19" s="20" t="s">
        <v>193</v>
      </c>
      <c r="K19" s="14" t="s">
        <v>249</v>
      </c>
      <c r="L19" s="20">
        <v>1</v>
      </c>
      <c r="M19" s="14">
        <f t="shared" si="1"/>
        <v>3</v>
      </c>
      <c r="N19" s="14" t="s">
        <v>260</v>
      </c>
      <c r="O19" s="47" t="s">
        <v>257</v>
      </c>
      <c r="P19" s="21" t="s">
        <v>274</v>
      </c>
      <c r="Q19" s="15">
        <f t="shared" si="2"/>
        <v>0.71499999999999997</v>
      </c>
      <c r="R19" s="20"/>
    </row>
    <row r="20" spans="1:18" s="46" customFormat="1" ht="48">
      <c r="A20" s="45"/>
      <c r="B20" s="16">
        <f>ROW(B20) - ROW($B$7)</f>
        <v>13</v>
      </c>
      <c r="C20" s="22" t="s">
        <v>12</v>
      </c>
      <c r="D20" s="14" t="s">
        <v>36</v>
      </c>
      <c r="E20" s="14" t="s">
        <v>74</v>
      </c>
      <c r="F20" s="14" t="s">
        <v>248</v>
      </c>
      <c r="G20" s="14" t="s">
        <v>110</v>
      </c>
      <c r="H20" s="14" t="s">
        <v>165</v>
      </c>
      <c r="I20" s="64" t="s">
        <v>298</v>
      </c>
      <c r="J20" s="14" t="s">
        <v>194</v>
      </c>
      <c r="K20" s="14" t="s">
        <v>249</v>
      </c>
      <c r="L20" s="14">
        <v>1</v>
      </c>
      <c r="M20" s="14">
        <f t="shared" si="1"/>
        <v>3</v>
      </c>
      <c r="N20" s="14" t="s">
        <v>258</v>
      </c>
      <c r="O20" s="47" t="s">
        <v>257</v>
      </c>
      <c r="P20" s="15" t="s">
        <v>275</v>
      </c>
      <c r="Q20" s="15">
        <f t="shared" si="2"/>
        <v>0.67500000000000004</v>
      </c>
      <c r="R20" s="14"/>
    </row>
    <row r="21" spans="1:18" s="46" customFormat="1" ht="48">
      <c r="A21" s="45"/>
      <c r="B21" s="17">
        <f t="shared" si="0"/>
        <v>14</v>
      </c>
      <c r="C21" s="23" t="s">
        <v>13</v>
      </c>
      <c r="D21" s="59" t="s">
        <v>37</v>
      </c>
      <c r="E21" s="59" t="s">
        <v>75</v>
      </c>
      <c r="F21" s="42" t="s">
        <v>248</v>
      </c>
      <c r="G21" s="59" t="s">
        <v>111</v>
      </c>
      <c r="H21" s="59" t="s">
        <v>166</v>
      </c>
      <c r="I21" s="62" t="s">
        <v>297</v>
      </c>
      <c r="J21" s="59" t="s">
        <v>195</v>
      </c>
      <c r="K21" s="42" t="s">
        <v>249</v>
      </c>
      <c r="L21" s="59">
        <v>1</v>
      </c>
      <c r="M21" s="42">
        <f t="shared" si="1"/>
        <v>3</v>
      </c>
      <c r="N21" s="42" t="s">
        <v>262</v>
      </c>
      <c r="O21" s="66" t="s">
        <v>257</v>
      </c>
      <c r="P21" s="61" t="s">
        <v>249</v>
      </c>
      <c r="Q21" s="43" t="s">
        <v>249</v>
      </c>
      <c r="R21" s="63" t="s">
        <v>250</v>
      </c>
    </row>
    <row r="22" spans="1:18" s="46" customFormat="1" ht="24">
      <c r="A22" s="45"/>
      <c r="B22" s="16">
        <f>ROW(B22) - ROW($B$7)</f>
        <v>15</v>
      </c>
      <c r="C22" s="22" t="s">
        <v>14</v>
      </c>
      <c r="D22" s="14" t="s">
        <v>38</v>
      </c>
      <c r="E22" s="14" t="s">
        <v>76</v>
      </c>
      <c r="F22" s="14" t="s">
        <v>248</v>
      </c>
      <c r="G22" s="14" t="s">
        <v>112</v>
      </c>
      <c r="H22" s="14" t="s">
        <v>167</v>
      </c>
      <c r="I22" s="64" t="s">
        <v>298</v>
      </c>
      <c r="J22" s="14" t="s">
        <v>196</v>
      </c>
      <c r="K22" s="14" t="s">
        <v>227</v>
      </c>
      <c r="L22" s="14">
        <v>1</v>
      </c>
      <c r="M22" s="14">
        <f t="shared" si="1"/>
        <v>3</v>
      </c>
      <c r="N22" s="14" t="s">
        <v>258</v>
      </c>
      <c r="O22" s="47" t="s">
        <v>257</v>
      </c>
      <c r="P22" s="15" t="s">
        <v>276</v>
      </c>
      <c r="Q22" s="15">
        <f t="shared" si="2"/>
        <v>0.73150000000000004</v>
      </c>
      <c r="R22" s="14"/>
    </row>
    <row r="23" spans="1:18" s="46" customFormat="1" ht="24">
      <c r="A23" s="45"/>
      <c r="B23" s="17">
        <f t="shared" si="0"/>
        <v>16</v>
      </c>
      <c r="C23" s="23" t="s">
        <v>14</v>
      </c>
      <c r="D23" s="20" t="s">
        <v>39</v>
      </c>
      <c r="E23" s="20" t="s">
        <v>77</v>
      </c>
      <c r="F23" s="14" t="s">
        <v>248</v>
      </c>
      <c r="G23" s="20" t="s">
        <v>113</v>
      </c>
      <c r="H23" s="20" t="s">
        <v>168</v>
      </c>
      <c r="I23" s="64" t="s">
        <v>298</v>
      </c>
      <c r="J23" s="20" t="s">
        <v>197</v>
      </c>
      <c r="K23" s="20" t="s">
        <v>228</v>
      </c>
      <c r="L23" s="20">
        <v>1</v>
      </c>
      <c r="M23" s="14">
        <f t="shared" si="1"/>
        <v>3</v>
      </c>
      <c r="N23" s="14" t="s">
        <v>258</v>
      </c>
      <c r="O23" s="47" t="s">
        <v>257</v>
      </c>
      <c r="P23" s="21" t="s">
        <v>277</v>
      </c>
      <c r="Q23" s="15">
        <f t="shared" si="2"/>
        <v>0.42500000000000004</v>
      </c>
      <c r="R23" s="20"/>
    </row>
    <row r="24" spans="1:18" s="46" customFormat="1" ht="24">
      <c r="A24" s="45"/>
      <c r="B24" s="16">
        <f>ROW(B24) - ROW($B$7)</f>
        <v>17</v>
      </c>
      <c r="C24" s="22" t="s">
        <v>15</v>
      </c>
      <c r="D24" s="14" t="s">
        <v>40</v>
      </c>
      <c r="E24" s="14" t="s">
        <v>78</v>
      </c>
      <c r="F24" s="14" t="s">
        <v>114</v>
      </c>
      <c r="G24" s="14" t="s">
        <v>135</v>
      </c>
      <c r="H24" s="14" t="s">
        <v>169</v>
      </c>
      <c r="I24" s="64" t="s">
        <v>298</v>
      </c>
      <c r="J24" s="14" t="s">
        <v>198</v>
      </c>
      <c r="K24" s="14" t="s">
        <v>249</v>
      </c>
      <c r="L24" s="14">
        <v>1</v>
      </c>
      <c r="M24" s="14">
        <f t="shared" si="1"/>
        <v>3</v>
      </c>
      <c r="N24" s="14" t="s">
        <v>261</v>
      </c>
      <c r="O24" s="47" t="s">
        <v>257</v>
      </c>
      <c r="P24" s="15" t="s">
        <v>278</v>
      </c>
      <c r="Q24" s="15">
        <f t="shared" si="2"/>
        <v>0.498</v>
      </c>
      <c r="R24" s="14"/>
    </row>
    <row r="25" spans="1:18" s="46" customFormat="1" ht="36">
      <c r="A25" s="45"/>
      <c r="B25" s="17">
        <f t="shared" si="0"/>
        <v>18</v>
      </c>
      <c r="C25" s="23" t="s">
        <v>16</v>
      </c>
      <c r="D25" s="20" t="s">
        <v>41</v>
      </c>
      <c r="E25" s="20" t="s">
        <v>79</v>
      </c>
      <c r="F25" s="20" t="s">
        <v>115</v>
      </c>
      <c r="G25" s="20" t="s">
        <v>136</v>
      </c>
      <c r="H25" s="20" t="s">
        <v>170</v>
      </c>
      <c r="I25" s="64" t="s">
        <v>298</v>
      </c>
      <c r="J25" s="20" t="s">
        <v>199</v>
      </c>
      <c r="K25" s="14" t="s">
        <v>249</v>
      </c>
      <c r="L25" s="20">
        <v>1</v>
      </c>
      <c r="M25" s="14">
        <f t="shared" si="1"/>
        <v>3</v>
      </c>
      <c r="N25" s="14" t="s">
        <v>262</v>
      </c>
      <c r="O25" s="47" t="s">
        <v>257</v>
      </c>
      <c r="P25" s="21" t="s">
        <v>279</v>
      </c>
      <c r="Q25" s="15">
        <f t="shared" si="2"/>
        <v>0.45300000000000001</v>
      </c>
      <c r="R25" s="20"/>
    </row>
    <row r="26" spans="1:18" s="46" customFormat="1">
      <c r="A26" s="45"/>
      <c r="B26" s="16">
        <f>ROW(B26) - ROW($B$7)</f>
        <v>19</v>
      </c>
      <c r="C26" s="22" t="s">
        <v>17</v>
      </c>
      <c r="D26" s="14" t="s">
        <v>42</v>
      </c>
      <c r="E26" s="14" t="s">
        <v>80</v>
      </c>
      <c r="F26" s="14" t="s">
        <v>116</v>
      </c>
      <c r="G26" s="14" t="s">
        <v>137</v>
      </c>
      <c r="H26" s="14" t="s">
        <v>171</v>
      </c>
      <c r="I26" s="64" t="s">
        <v>298</v>
      </c>
      <c r="J26" s="14" t="s">
        <v>200</v>
      </c>
      <c r="K26" s="14" t="s">
        <v>249</v>
      </c>
      <c r="L26" s="14">
        <v>2</v>
      </c>
      <c r="M26" s="14">
        <f t="shared" si="1"/>
        <v>6</v>
      </c>
      <c r="N26" s="14" t="s">
        <v>262</v>
      </c>
      <c r="O26" s="47" t="s">
        <v>257</v>
      </c>
      <c r="P26" s="15" t="s">
        <v>280</v>
      </c>
      <c r="Q26" s="15">
        <f t="shared" si="2"/>
        <v>0.496</v>
      </c>
      <c r="R26" s="14"/>
    </row>
    <row r="27" spans="1:18" s="46" customFormat="1" ht="36">
      <c r="A27" s="45"/>
      <c r="B27" s="17">
        <f t="shared" si="0"/>
        <v>20</v>
      </c>
      <c r="C27" s="23" t="s">
        <v>18</v>
      </c>
      <c r="D27" s="20" t="s">
        <v>43</v>
      </c>
      <c r="E27" s="20" t="s">
        <v>81</v>
      </c>
      <c r="F27" s="20" t="s">
        <v>117</v>
      </c>
      <c r="G27" s="20" t="s">
        <v>138</v>
      </c>
      <c r="H27" s="20" t="s">
        <v>172</v>
      </c>
      <c r="I27" s="64" t="s">
        <v>298</v>
      </c>
      <c r="J27" s="20" t="s">
        <v>201</v>
      </c>
      <c r="K27" s="14" t="s">
        <v>249</v>
      </c>
      <c r="L27" s="20">
        <v>1</v>
      </c>
      <c r="M27" s="14">
        <f t="shared" si="1"/>
        <v>3</v>
      </c>
      <c r="N27" s="14">
        <v>4</v>
      </c>
      <c r="O27" s="47" t="s">
        <v>257</v>
      </c>
      <c r="P27" s="21" t="s">
        <v>281</v>
      </c>
      <c r="Q27" s="15">
        <f t="shared" si="2"/>
        <v>1.1504000000000001</v>
      </c>
      <c r="R27" s="20"/>
    </row>
    <row r="28" spans="1:18" s="46" customFormat="1" ht="24">
      <c r="A28" s="45"/>
      <c r="B28" s="16">
        <f>ROW(B28) - ROW($B$7)</f>
        <v>21</v>
      </c>
      <c r="C28" s="22" t="s">
        <v>16</v>
      </c>
      <c r="D28" s="14" t="s">
        <v>44</v>
      </c>
      <c r="E28" s="14" t="s">
        <v>82</v>
      </c>
      <c r="F28" s="14" t="s">
        <v>118</v>
      </c>
      <c r="G28" s="14" t="s">
        <v>139</v>
      </c>
      <c r="H28" s="14" t="s">
        <v>173</v>
      </c>
      <c r="I28" s="64" t="s">
        <v>298</v>
      </c>
      <c r="J28" s="14" t="s">
        <v>202</v>
      </c>
      <c r="K28" s="14" t="s">
        <v>249</v>
      </c>
      <c r="L28" s="14">
        <v>1</v>
      </c>
      <c r="M28" s="14">
        <f t="shared" si="1"/>
        <v>3</v>
      </c>
      <c r="N28" s="14" t="s">
        <v>258</v>
      </c>
      <c r="O28" s="47" t="s">
        <v>257</v>
      </c>
      <c r="P28" s="15" t="s">
        <v>282</v>
      </c>
      <c r="Q28" s="15">
        <f t="shared" si="2"/>
        <v>0.44850000000000001</v>
      </c>
      <c r="R28" s="14"/>
    </row>
    <row r="29" spans="1:18" s="46" customFormat="1">
      <c r="A29" s="45"/>
      <c r="B29" s="17">
        <f t="shared" si="0"/>
        <v>22</v>
      </c>
      <c r="C29" s="23" t="s">
        <v>19</v>
      </c>
      <c r="D29" s="20" t="s">
        <v>45</v>
      </c>
      <c r="E29" s="20" t="s">
        <v>83</v>
      </c>
      <c r="F29" s="20" t="s">
        <v>119</v>
      </c>
      <c r="G29" s="20" t="s">
        <v>140</v>
      </c>
      <c r="H29" s="20" t="s">
        <v>158</v>
      </c>
      <c r="I29" s="64" t="s">
        <v>298</v>
      </c>
      <c r="J29" s="20" t="s">
        <v>203</v>
      </c>
      <c r="K29" s="20" t="s">
        <v>229</v>
      </c>
      <c r="L29" s="20">
        <v>1</v>
      </c>
      <c r="M29" s="14">
        <f t="shared" si="1"/>
        <v>3</v>
      </c>
      <c r="N29" s="14" t="s">
        <v>259</v>
      </c>
      <c r="O29" s="47" t="s">
        <v>257</v>
      </c>
      <c r="P29" s="21" t="s">
        <v>283</v>
      </c>
      <c r="Q29" s="15">
        <f t="shared" si="2"/>
        <v>0.18</v>
      </c>
      <c r="R29" s="20"/>
    </row>
    <row r="30" spans="1:18" s="46" customFormat="1">
      <c r="A30" s="45"/>
      <c r="B30" s="16">
        <f>ROW(B30) - ROW($B$7)</f>
        <v>23</v>
      </c>
      <c r="C30" s="22" t="s">
        <v>20</v>
      </c>
      <c r="D30" s="14" t="s">
        <v>46</v>
      </c>
      <c r="E30" s="14" t="s">
        <v>84</v>
      </c>
      <c r="F30" s="14" t="s">
        <v>120</v>
      </c>
      <c r="G30" s="14" t="s">
        <v>141</v>
      </c>
      <c r="H30" s="14" t="s">
        <v>174</v>
      </c>
      <c r="I30" s="64" t="s">
        <v>298</v>
      </c>
      <c r="J30" s="14" t="s">
        <v>204</v>
      </c>
      <c r="K30" s="14" t="s">
        <v>230</v>
      </c>
      <c r="L30" s="14">
        <v>1</v>
      </c>
      <c r="M30" s="14">
        <f t="shared" si="1"/>
        <v>3</v>
      </c>
      <c r="N30" s="14" t="s">
        <v>259</v>
      </c>
      <c r="O30" s="47" t="s">
        <v>257</v>
      </c>
      <c r="P30" s="15" t="s">
        <v>284</v>
      </c>
      <c r="Q30" s="15">
        <f t="shared" si="2"/>
        <v>0.33999999999999997</v>
      </c>
      <c r="R30" s="14"/>
    </row>
    <row r="31" spans="1:18" s="46" customFormat="1" ht="48">
      <c r="A31" s="45"/>
      <c r="B31" s="17">
        <f t="shared" si="0"/>
        <v>24</v>
      </c>
      <c r="C31" s="23" t="s">
        <v>20</v>
      </c>
      <c r="D31" s="20" t="s">
        <v>47</v>
      </c>
      <c r="E31" s="20" t="s">
        <v>85</v>
      </c>
      <c r="F31" s="20" t="s">
        <v>121</v>
      </c>
      <c r="G31" s="20" t="s">
        <v>142</v>
      </c>
      <c r="H31" s="20" t="s">
        <v>175</v>
      </c>
      <c r="I31" s="64" t="s">
        <v>298</v>
      </c>
      <c r="J31" s="20" t="s">
        <v>205</v>
      </c>
      <c r="K31" s="20" t="s">
        <v>229</v>
      </c>
      <c r="L31" s="20">
        <v>1</v>
      </c>
      <c r="M31" s="14">
        <f t="shared" si="1"/>
        <v>3</v>
      </c>
      <c r="N31" s="14" t="s">
        <v>259</v>
      </c>
      <c r="O31" s="47" t="s">
        <v>257</v>
      </c>
      <c r="P31" s="21" t="s">
        <v>285</v>
      </c>
      <c r="Q31" s="15">
        <f t="shared" si="2"/>
        <v>0.62</v>
      </c>
      <c r="R31" s="20"/>
    </row>
    <row r="32" spans="1:18" s="46" customFormat="1" ht="24">
      <c r="A32" s="45"/>
      <c r="B32" s="16">
        <f>ROW(B32) - ROW($B$7)</f>
        <v>25</v>
      </c>
      <c r="C32" s="22" t="s">
        <v>21</v>
      </c>
      <c r="D32" s="42" t="s">
        <v>48</v>
      </c>
      <c r="E32" s="42" t="s">
        <v>86</v>
      </c>
      <c r="F32" s="42" t="s">
        <v>122</v>
      </c>
      <c r="G32" s="42" t="s">
        <v>122</v>
      </c>
      <c r="H32" s="42" t="s">
        <v>176</v>
      </c>
      <c r="I32" s="42" t="s">
        <v>249</v>
      </c>
      <c r="J32" s="42" t="s">
        <v>206</v>
      </c>
      <c r="K32" s="42" t="s">
        <v>231</v>
      </c>
      <c r="L32" s="42">
        <v>2</v>
      </c>
      <c r="M32" s="14">
        <f t="shared" si="1"/>
        <v>6</v>
      </c>
      <c r="N32" s="42" t="s">
        <v>262</v>
      </c>
      <c r="O32" s="47" t="s">
        <v>249</v>
      </c>
      <c r="P32" s="43" t="s">
        <v>249</v>
      </c>
      <c r="Q32" s="15" t="s">
        <v>249</v>
      </c>
      <c r="R32" s="44" t="s">
        <v>250</v>
      </c>
    </row>
    <row r="33" spans="1:18" s="46" customFormat="1">
      <c r="A33" s="45"/>
      <c r="B33" s="17">
        <f t="shared" si="0"/>
        <v>26</v>
      </c>
      <c r="C33" s="23" t="s">
        <v>19</v>
      </c>
      <c r="D33" s="20" t="s">
        <v>49</v>
      </c>
      <c r="E33" s="20" t="s">
        <v>87</v>
      </c>
      <c r="F33" s="20" t="s">
        <v>119</v>
      </c>
      <c r="G33" s="20" t="s">
        <v>143</v>
      </c>
      <c r="H33" s="20" t="s">
        <v>158</v>
      </c>
      <c r="I33" s="64" t="s">
        <v>298</v>
      </c>
      <c r="J33" s="20" t="s">
        <v>207</v>
      </c>
      <c r="K33" s="20" t="s">
        <v>232</v>
      </c>
      <c r="L33" s="20">
        <v>1</v>
      </c>
      <c r="M33" s="14">
        <f t="shared" si="1"/>
        <v>3</v>
      </c>
      <c r="N33" s="14" t="s">
        <v>259</v>
      </c>
      <c r="O33" s="47" t="s">
        <v>257</v>
      </c>
      <c r="P33" s="21" t="s">
        <v>286</v>
      </c>
      <c r="Q33" s="15">
        <f t="shared" si="2"/>
        <v>0.21</v>
      </c>
      <c r="R33" s="20"/>
    </row>
    <row r="34" spans="1:18" s="46" customFormat="1">
      <c r="A34" s="45"/>
      <c r="B34" s="16">
        <f>ROW(B34) - ROW($B$7)</f>
        <v>27</v>
      </c>
      <c r="C34" s="22" t="s">
        <v>20</v>
      </c>
      <c r="D34" s="14" t="s">
        <v>50</v>
      </c>
      <c r="E34" s="14" t="s">
        <v>88</v>
      </c>
      <c r="F34" s="14" t="s">
        <v>123</v>
      </c>
      <c r="G34" s="14" t="s">
        <v>144</v>
      </c>
      <c r="H34" s="14" t="s">
        <v>158</v>
      </c>
      <c r="I34" s="64" t="s">
        <v>298</v>
      </c>
      <c r="J34" s="14" t="s">
        <v>208</v>
      </c>
      <c r="K34" s="14" t="s">
        <v>233</v>
      </c>
      <c r="L34" s="14">
        <v>1</v>
      </c>
      <c r="M34" s="14">
        <f t="shared" si="1"/>
        <v>3</v>
      </c>
      <c r="N34" s="14" t="s">
        <v>262</v>
      </c>
      <c r="O34" s="47" t="s">
        <v>257</v>
      </c>
      <c r="P34" s="15" t="s">
        <v>287</v>
      </c>
      <c r="Q34" s="15">
        <f t="shared" si="2"/>
        <v>0.42999999999999994</v>
      </c>
      <c r="R34" s="14"/>
    </row>
    <row r="35" spans="1:18" s="46" customFormat="1">
      <c r="A35" s="45"/>
      <c r="B35" s="17">
        <f t="shared" si="0"/>
        <v>28</v>
      </c>
      <c r="C35" s="23" t="s">
        <v>19</v>
      </c>
      <c r="D35" s="20" t="s">
        <v>51</v>
      </c>
      <c r="E35" s="20" t="s">
        <v>89</v>
      </c>
      <c r="F35" s="20" t="s">
        <v>124</v>
      </c>
      <c r="G35" s="20" t="s">
        <v>145</v>
      </c>
      <c r="H35" s="20" t="s">
        <v>158</v>
      </c>
      <c r="I35" s="64" t="s">
        <v>298</v>
      </c>
      <c r="J35" s="20" t="s">
        <v>209</v>
      </c>
      <c r="K35" s="20" t="s">
        <v>229</v>
      </c>
      <c r="L35" s="20">
        <v>1</v>
      </c>
      <c r="M35" s="14">
        <f t="shared" si="1"/>
        <v>3</v>
      </c>
      <c r="N35" s="14" t="s">
        <v>260</v>
      </c>
      <c r="O35" s="47" t="s">
        <v>257</v>
      </c>
      <c r="P35" s="21" t="s">
        <v>288</v>
      </c>
      <c r="Q35" s="15">
        <f t="shared" si="2"/>
        <v>0.55999999999999994</v>
      </c>
      <c r="R35" s="20"/>
    </row>
    <row r="36" spans="1:18" s="46" customFormat="1" ht="48">
      <c r="A36" s="45"/>
      <c r="B36" s="16">
        <f>ROW(B36) - ROW($B$7)</f>
        <v>29</v>
      </c>
      <c r="C36" s="22" t="s">
        <v>20</v>
      </c>
      <c r="D36" s="14" t="s">
        <v>52</v>
      </c>
      <c r="E36" s="14" t="s">
        <v>90</v>
      </c>
      <c r="F36" s="14" t="s">
        <v>121</v>
      </c>
      <c r="G36" s="14" t="s">
        <v>146</v>
      </c>
      <c r="H36" s="14" t="s">
        <v>177</v>
      </c>
      <c r="I36" s="64" t="s">
        <v>298</v>
      </c>
      <c r="J36" s="14" t="s">
        <v>210</v>
      </c>
      <c r="K36" s="14" t="s">
        <v>234</v>
      </c>
      <c r="L36" s="14">
        <v>1</v>
      </c>
      <c r="M36" s="14">
        <f t="shared" si="1"/>
        <v>3</v>
      </c>
      <c r="N36" s="14" t="s">
        <v>260</v>
      </c>
      <c r="O36" s="47" t="s">
        <v>257</v>
      </c>
      <c r="P36" s="15" t="s">
        <v>289</v>
      </c>
      <c r="Q36" s="15">
        <f t="shared" si="2"/>
        <v>0.47499999999999998</v>
      </c>
      <c r="R36" s="14"/>
    </row>
    <row r="37" spans="1:18" s="46" customFormat="1">
      <c r="A37" s="45"/>
      <c r="B37" s="17">
        <f t="shared" si="0"/>
        <v>30</v>
      </c>
      <c r="C37" s="23" t="s">
        <v>19</v>
      </c>
      <c r="D37" s="20" t="s">
        <v>53</v>
      </c>
      <c r="E37" s="20" t="s">
        <v>91</v>
      </c>
      <c r="F37" s="20" t="s">
        <v>120</v>
      </c>
      <c r="G37" s="20" t="s">
        <v>147</v>
      </c>
      <c r="H37" s="20" t="s">
        <v>158</v>
      </c>
      <c r="I37" s="64" t="s">
        <v>298</v>
      </c>
      <c r="J37" s="20" t="s">
        <v>211</v>
      </c>
      <c r="K37" s="20" t="s">
        <v>235</v>
      </c>
      <c r="L37" s="20">
        <v>1</v>
      </c>
      <c r="M37" s="14">
        <f t="shared" si="1"/>
        <v>3</v>
      </c>
      <c r="N37" s="14" t="s">
        <v>261</v>
      </c>
      <c r="O37" s="47" t="s">
        <v>257</v>
      </c>
      <c r="P37" s="21" t="s">
        <v>290</v>
      </c>
      <c r="Q37" s="15">
        <f t="shared" si="2"/>
        <v>0.41399999999999998</v>
      </c>
      <c r="R37" s="20"/>
    </row>
    <row r="38" spans="1:18" s="46" customFormat="1">
      <c r="A38" s="45"/>
      <c r="B38" s="16">
        <f>ROW(B38) - ROW($B$7)</f>
        <v>31</v>
      </c>
      <c r="C38" s="23" t="s">
        <v>19</v>
      </c>
      <c r="D38" s="14" t="s">
        <v>54</v>
      </c>
      <c r="E38" s="14" t="s">
        <v>92</v>
      </c>
      <c r="F38" s="14" t="s">
        <v>120</v>
      </c>
      <c r="G38" s="14" t="s">
        <v>148</v>
      </c>
      <c r="H38" s="14" t="s">
        <v>158</v>
      </c>
      <c r="I38" s="64" t="s">
        <v>298</v>
      </c>
      <c r="J38" s="14" t="s">
        <v>212</v>
      </c>
      <c r="K38" s="14" t="s">
        <v>236</v>
      </c>
      <c r="L38" s="14">
        <v>1</v>
      </c>
      <c r="M38" s="14">
        <f t="shared" si="1"/>
        <v>3</v>
      </c>
      <c r="N38" s="14" t="s">
        <v>259</v>
      </c>
      <c r="O38" s="47" t="s">
        <v>257</v>
      </c>
      <c r="P38" s="15" t="s">
        <v>291</v>
      </c>
      <c r="Q38" s="15">
        <f t="shared" si="2"/>
        <v>0.11</v>
      </c>
      <c r="R38" s="14"/>
    </row>
    <row r="39" spans="1:18" s="46" customFormat="1">
      <c r="A39" s="45"/>
      <c r="B39" s="17">
        <f t="shared" si="0"/>
        <v>32</v>
      </c>
      <c r="C39" s="23" t="s">
        <v>19</v>
      </c>
      <c r="D39" s="20" t="s">
        <v>55</v>
      </c>
      <c r="E39" s="20" t="s">
        <v>93</v>
      </c>
      <c r="F39" s="20" t="s">
        <v>120</v>
      </c>
      <c r="G39" s="20" t="s">
        <v>149</v>
      </c>
      <c r="H39" s="20" t="s">
        <v>158</v>
      </c>
      <c r="I39" s="64" t="s">
        <v>298</v>
      </c>
      <c r="J39" s="20" t="s">
        <v>213</v>
      </c>
      <c r="K39" s="20" t="s">
        <v>234</v>
      </c>
      <c r="L39" s="20">
        <v>2</v>
      </c>
      <c r="M39" s="14">
        <f t="shared" si="1"/>
        <v>6</v>
      </c>
      <c r="N39" s="14" t="s">
        <v>259</v>
      </c>
      <c r="O39" s="47" t="s">
        <v>257</v>
      </c>
      <c r="P39" s="21" t="s">
        <v>291</v>
      </c>
      <c r="Q39" s="15">
        <f t="shared" si="2"/>
        <v>0.11</v>
      </c>
      <c r="R39" s="20"/>
    </row>
    <row r="40" spans="1:18" s="46" customFormat="1">
      <c r="A40" s="45"/>
      <c r="B40" s="16">
        <f>ROW(B40) - ROW($B$7)</f>
        <v>33</v>
      </c>
      <c r="C40" s="22" t="s">
        <v>19</v>
      </c>
      <c r="D40" s="14" t="s">
        <v>56</v>
      </c>
      <c r="E40" s="14" t="s">
        <v>94</v>
      </c>
      <c r="F40" s="14" t="s">
        <v>120</v>
      </c>
      <c r="G40" s="14" t="s">
        <v>150</v>
      </c>
      <c r="H40" s="14" t="s">
        <v>158</v>
      </c>
      <c r="I40" s="64" t="s">
        <v>298</v>
      </c>
      <c r="J40" s="14" t="s">
        <v>214</v>
      </c>
      <c r="K40" s="14" t="s">
        <v>237</v>
      </c>
      <c r="L40" s="14">
        <v>1</v>
      </c>
      <c r="M40" s="14">
        <f t="shared" si="1"/>
        <v>3</v>
      </c>
      <c r="N40" s="14" t="s">
        <v>261</v>
      </c>
      <c r="O40" s="47" t="s">
        <v>257</v>
      </c>
      <c r="P40" s="15" t="s">
        <v>292</v>
      </c>
      <c r="Q40" s="15">
        <f t="shared" si="2"/>
        <v>0.504</v>
      </c>
      <c r="R40" s="14"/>
    </row>
    <row r="41" spans="1:18" s="46" customFormat="1" ht="36">
      <c r="A41" s="45"/>
      <c r="B41" s="17">
        <f t="shared" si="0"/>
        <v>34</v>
      </c>
      <c r="C41" s="23" t="s">
        <v>22</v>
      </c>
      <c r="D41" s="20" t="s">
        <v>57</v>
      </c>
      <c r="E41" s="20" t="s">
        <v>95</v>
      </c>
      <c r="F41" s="20" t="s">
        <v>125</v>
      </c>
      <c r="G41" s="20" t="s">
        <v>151</v>
      </c>
      <c r="H41" s="20" t="s">
        <v>178</v>
      </c>
      <c r="I41" s="64" t="s">
        <v>298</v>
      </c>
      <c r="J41" s="20" t="s">
        <v>215</v>
      </c>
      <c r="K41" s="20" t="s">
        <v>249</v>
      </c>
      <c r="L41" s="20">
        <v>1</v>
      </c>
      <c r="M41" s="14">
        <f t="shared" si="1"/>
        <v>3</v>
      </c>
      <c r="N41" s="14" t="s">
        <v>258</v>
      </c>
      <c r="O41" s="47" t="s">
        <v>257</v>
      </c>
      <c r="P41" s="21" t="s">
        <v>293</v>
      </c>
      <c r="Q41" s="15">
        <f t="shared" si="2"/>
        <v>0.74350000000000005</v>
      </c>
      <c r="R41" s="20"/>
    </row>
    <row r="42" spans="1:18" s="46" customFormat="1" ht="24">
      <c r="A42" s="45"/>
      <c r="B42" s="16">
        <f>ROW(B42) - ROW($B$7)</f>
        <v>35</v>
      </c>
      <c r="C42" s="22" t="s">
        <v>22</v>
      </c>
      <c r="D42" s="14" t="s">
        <v>58</v>
      </c>
      <c r="E42" s="14" t="s">
        <v>96</v>
      </c>
      <c r="F42" s="14" t="s">
        <v>126</v>
      </c>
      <c r="G42" s="14" t="s">
        <v>152</v>
      </c>
      <c r="H42" s="14" t="s">
        <v>179</v>
      </c>
      <c r="I42" s="64" t="s">
        <v>298</v>
      </c>
      <c r="J42" s="14" t="s">
        <v>216</v>
      </c>
      <c r="K42" s="20" t="s">
        <v>249</v>
      </c>
      <c r="L42" s="14">
        <v>1</v>
      </c>
      <c r="M42" s="14">
        <f t="shared" si="1"/>
        <v>3</v>
      </c>
      <c r="N42" s="51" t="s">
        <v>258</v>
      </c>
      <c r="O42" s="53" t="s">
        <v>257</v>
      </c>
      <c r="P42" s="15" t="s">
        <v>294</v>
      </c>
      <c r="Q42" s="15">
        <f t="shared" si="2"/>
        <v>1.2755000000000001</v>
      </c>
      <c r="R42" s="14"/>
    </row>
    <row r="43" spans="1:18" s="46" customFormat="1" ht="24">
      <c r="A43" s="45"/>
      <c r="B43" s="17">
        <f t="shared" si="0"/>
        <v>36</v>
      </c>
      <c r="C43" s="23" t="s">
        <v>22</v>
      </c>
      <c r="D43" s="20" t="s">
        <v>59</v>
      </c>
      <c r="E43" s="20" t="s">
        <v>97</v>
      </c>
      <c r="F43" s="20" t="s">
        <v>127</v>
      </c>
      <c r="G43" s="20" t="s">
        <v>153</v>
      </c>
      <c r="H43" s="20" t="s">
        <v>180</v>
      </c>
      <c r="I43" s="64" t="s">
        <v>298</v>
      </c>
      <c r="J43" s="20" t="s">
        <v>217</v>
      </c>
      <c r="K43" s="20" t="s">
        <v>249</v>
      </c>
      <c r="L43" s="20">
        <v>1</v>
      </c>
      <c r="M43" s="14">
        <f t="shared" si="1"/>
        <v>3</v>
      </c>
      <c r="N43" s="14">
        <v>4</v>
      </c>
      <c r="O43" s="47" t="s">
        <v>257</v>
      </c>
      <c r="P43" s="21" t="s">
        <v>295</v>
      </c>
      <c r="Q43" s="15">
        <f t="shared" si="2"/>
        <v>1.9076</v>
      </c>
      <c r="R43" s="20"/>
    </row>
    <row r="44" spans="1:18" s="46" customFormat="1">
      <c r="A44" s="45"/>
      <c r="B44" s="16">
        <f>ROW(B44) - ROW($B$7)</f>
        <v>37</v>
      </c>
      <c r="C44" s="22" t="s">
        <v>22</v>
      </c>
      <c r="D44" s="14" t="s">
        <v>60</v>
      </c>
      <c r="E44" s="14" t="s">
        <v>98</v>
      </c>
      <c r="F44" s="14" t="s">
        <v>128</v>
      </c>
      <c r="G44" s="14" t="s">
        <v>154</v>
      </c>
      <c r="H44" s="14" t="s">
        <v>171</v>
      </c>
      <c r="I44" s="64" t="s">
        <v>298</v>
      </c>
      <c r="J44" s="14" t="s">
        <v>218</v>
      </c>
      <c r="K44" s="20" t="s">
        <v>249</v>
      </c>
      <c r="L44" s="14">
        <v>1</v>
      </c>
      <c r="M44" s="14">
        <f t="shared" si="1"/>
        <v>3</v>
      </c>
      <c r="N44" s="14">
        <v>4</v>
      </c>
      <c r="O44" s="47" t="s">
        <v>257</v>
      </c>
      <c r="P44" s="15" t="s">
        <v>296</v>
      </c>
      <c r="Q44" s="15">
        <f t="shared" si="2"/>
        <v>1.9084000000000001</v>
      </c>
      <c r="R44" s="14"/>
    </row>
    <row r="45" spans="1:18" s="46" customFormat="1" ht="36">
      <c r="A45" s="45"/>
      <c r="B45" s="16">
        <f t="shared" ref="B45:B48" si="3">ROW(B45) - ROW($B$7)</f>
        <v>38</v>
      </c>
      <c r="C45" s="22" t="s">
        <v>299</v>
      </c>
      <c r="D45" s="14" t="s">
        <v>249</v>
      </c>
      <c r="E45" s="14" t="s">
        <v>301</v>
      </c>
      <c r="F45" s="14" t="s">
        <v>249</v>
      </c>
      <c r="G45" s="14" t="s">
        <v>302</v>
      </c>
      <c r="H45" s="14" t="s">
        <v>249</v>
      </c>
      <c r="I45" s="64" t="s">
        <v>298</v>
      </c>
      <c r="J45" s="14" t="s">
        <v>249</v>
      </c>
      <c r="K45" s="20" t="s">
        <v>249</v>
      </c>
      <c r="L45" s="14">
        <v>1</v>
      </c>
      <c r="M45" s="14">
        <f t="shared" si="1"/>
        <v>3</v>
      </c>
      <c r="N45" s="14">
        <v>4</v>
      </c>
      <c r="O45" s="47" t="s">
        <v>300</v>
      </c>
      <c r="P45" s="15">
        <v>3.97</v>
      </c>
      <c r="Q45" s="15">
        <f t="shared" si="2"/>
        <v>15.88</v>
      </c>
      <c r="R45" s="14"/>
    </row>
    <row r="46" spans="1:18" s="46" customFormat="1" ht="48">
      <c r="A46" s="45"/>
      <c r="B46" s="16">
        <f t="shared" si="3"/>
        <v>39</v>
      </c>
      <c r="C46" s="22" t="s">
        <v>299</v>
      </c>
      <c r="D46" s="14" t="s">
        <v>249</v>
      </c>
      <c r="E46" s="14" t="s">
        <v>303</v>
      </c>
      <c r="F46" s="14" t="s">
        <v>249</v>
      </c>
      <c r="G46" s="14" t="s">
        <v>304</v>
      </c>
      <c r="H46" s="14" t="s">
        <v>249</v>
      </c>
      <c r="I46" s="64" t="s">
        <v>298</v>
      </c>
      <c r="J46" s="14" t="s">
        <v>249</v>
      </c>
      <c r="K46" s="20" t="s">
        <v>249</v>
      </c>
      <c r="L46" s="14">
        <v>1</v>
      </c>
      <c r="M46" s="14">
        <f t="shared" si="1"/>
        <v>3</v>
      </c>
      <c r="N46" s="14">
        <v>3</v>
      </c>
      <c r="O46" s="47" t="s">
        <v>300</v>
      </c>
      <c r="P46" s="15">
        <v>1.1499999999999999</v>
      </c>
      <c r="Q46" s="15">
        <f t="shared" si="2"/>
        <v>3.4499999999999997</v>
      </c>
      <c r="R46" s="14"/>
    </row>
    <row r="47" spans="1:18" s="46" customFormat="1" ht="48">
      <c r="A47" s="45"/>
      <c r="B47" s="16">
        <f t="shared" si="3"/>
        <v>40</v>
      </c>
      <c r="C47" s="22" t="s">
        <v>299</v>
      </c>
      <c r="D47" s="14" t="s">
        <v>249</v>
      </c>
      <c r="E47" s="14" t="s">
        <v>306</v>
      </c>
      <c r="F47" s="14" t="s">
        <v>249</v>
      </c>
      <c r="G47" s="14" t="s">
        <v>305</v>
      </c>
      <c r="H47" s="14" t="s">
        <v>249</v>
      </c>
      <c r="I47" s="64" t="s">
        <v>298</v>
      </c>
      <c r="J47" s="14" t="s">
        <v>249</v>
      </c>
      <c r="K47" s="20" t="s">
        <v>249</v>
      </c>
      <c r="L47" s="14">
        <v>1</v>
      </c>
      <c r="M47" s="14">
        <f t="shared" si="1"/>
        <v>3</v>
      </c>
      <c r="N47" s="14">
        <v>3</v>
      </c>
      <c r="O47" s="47" t="s">
        <v>300</v>
      </c>
      <c r="P47" s="15">
        <v>8.59</v>
      </c>
      <c r="Q47" s="15">
        <f t="shared" si="2"/>
        <v>25.77</v>
      </c>
      <c r="R47" s="14"/>
    </row>
    <row r="48" spans="1:18" s="46" customFormat="1" ht="36.75" thickBot="1">
      <c r="A48" s="45"/>
      <c r="B48" s="16">
        <f t="shared" si="3"/>
        <v>41</v>
      </c>
      <c r="C48" s="22" t="s">
        <v>299</v>
      </c>
      <c r="D48" s="14" t="s">
        <v>249</v>
      </c>
      <c r="E48" s="14" t="s">
        <v>308</v>
      </c>
      <c r="F48" s="14" t="s">
        <v>249</v>
      </c>
      <c r="G48" s="14" t="s">
        <v>307</v>
      </c>
      <c r="H48" s="14" t="s">
        <v>249</v>
      </c>
      <c r="I48" s="64" t="s">
        <v>298</v>
      </c>
      <c r="J48" s="14" t="s">
        <v>249</v>
      </c>
      <c r="K48" s="20" t="s">
        <v>249</v>
      </c>
      <c r="L48" s="14">
        <v>1</v>
      </c>
      <c r="M48" s="14">
        <f t="shared" si="1"/>
        <v>3</v>
      </c>
      <c r="N48" s="14">
        <v>3</v>
      </c>
      <c r="O48" s="47" t="s">
        <v>300</v>
      </c>
      <c r="P48" s="15">
        <v>1.1100000000000001</v>
      </c>
      <c r="Q48" s="15">
        <f t="shared" si="2"/>
        <v>3.33</v>
      </c>
      <c r="R48" s="14"/>
    </row>
    <row r="49" spans="1:18" ht="19.5" thickBo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57" t="s">
        <v>3</v>
      </c>
      <c r="P49" s="58"/>
      <c r="Q49" s="18">
        <f>SUM(Q8:Q48)</f>
        <v>72.2029</v>
      </c>
      <c r="R49" s="1"/>
    </row>
    <row r="50" spans="1:18" ht="19.5" thickBo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57" t="s">
        <v>4</v>
      </c>
      <c r="P50" s="58"/>
      <c r="Q50" s="19">
        <f>Q49/3</f>
        <v>24.067633333333333</v>
      </c>
      <c r="R50" s="1"/>
    </row>
  </sheetData>
  <mergeCells count="3">
    <mergeCell ref="K1:R1"/>
    <mergeCell ref="O49:P49"/>
    <mergeCell ref="O50:P50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  <hyperlink ref="O26" r:id="rId19"/>
    <hyperlink ref="O27" r:id="rId20"/>
    <hyperlink ref="O28" r:id="rId21"/>
    <hyperlink ref="O29" r:id="rId22"/>
    <hyperlink ref="O30" r:id="rId23"/>
    <hyperlink ref="O31" r:id="rId24"/>
    <hyperlink ref="O32" r:id="rId25" display="LCSC"/>
    <hyperlink ref="O33" r:id="rId26"/>
    <hyperlink ref="O34" r:id="rId27"/>
    <hyperlink ref="O35" r:id="rId28"/>
    <hyperlink ref="O36" r:id="rId29"/>
    <hyperlink ref="O37" r:id="rId30"/>
    <hyperlink ref="O38" r:id="rId31"/>
    <hyperlink ref="O39" r:id="rId32"/>
    <hyperlink ref="O40" r:id="rId33"/>
    <hyperlink ref="O41" r:id="rId34"/>
    <hyperlink ref="O42" r:id="rId35"/>
    <hyperlink ref="O43" r:id="rId36"/>
    <hyperlink ref="O44" r:id="rId37"/>
    <hyperlink ref="O45" r:id="rId38"/>
    <hyperlink ref="O46" r:id="rId39"/>
    <hyperlink ref="O47" r:id="rId40"/>
    <hyperlink ref="O48" r:id="rId4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3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2024-11-27T10:56:41Z</dcterms:modified>
</cp:coreProperties>
</file>